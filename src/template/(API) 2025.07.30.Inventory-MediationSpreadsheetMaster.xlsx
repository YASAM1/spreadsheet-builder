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p Distr - KB Preferred - Use" sheetId="1" r:id="rId4"/>
    <sheet state="visible" name="Other Personal Property" sheetId="2" r:id="rId5"/>
    <sheet state="visible" name="Important Prep Info - Delete" sheetId="3" r:id="rId6"/>
    <sheet state="visible" name="Prop Distrib - DON’T USE" sheetId="4" r:id="rId7"/>
    <sheet state="visible" name="Property Distr - Extra Cols" sheetId="5" r:id="rId8"/>
  </sheets>
  <definedNames/>
  <calcPr/>
  <extLst>
    <ext uri="GoogleSheetsCustomDataVersion2">
      <go:sheetsCustomData xmlns:go="http://customooxmlschemas.google.com/" r:id="rId9" roundtripDataChecksum="BM6isHCs5yaxmOitqgntyFM5pgFsSaNK+t3m77dC8I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4">
      <text>
        <t xml:space="preserve">======
ID#AAABzAprbzo
tc={0AAD98B5-52AC-2050-9326-4F4C9FEAA2D0}    (2026-01-24 01:13:58)
[Threaded comment]
Your version of Excel allows you to read this threaded comment; however, any edits to it will get removed if the file is opened in a newer version of Excel. Learn more: https://go.microsoft.com/fwlink/?linkid=870924
Comment:
    Value will be somewhat of strategy - if client keeps the house, find the lowest value from Zillow, Realtor.com, Redfin, Trulia, etc. and use that amount - if OP keeps the house, find the highest value from Zillow, Realtor.com, Redfin, Trulia, etc. and use that amount - if the parties are splitting then take the average of the values from Zillow, Realtor.com, Redfin, Trulia, etc.</t>
      </text>
    </comment>
  </commentList>
  <extLst>
    <ext uri="GoogleSheetsCustomDataVersion2">
      <go:sheetsCustomData xmlns:go="http://customooxmlschemas.google.com/" r:id="rId1" roundtripDataSignature="AMtx7miyyJLjNldRj/6yj47jJdaAjiqv/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6">
      <text>
        <t xml:space="preserve">======
ID#AAABzAprbzg
tc={0AAD98B5-52AC-204E-9326-4F4C9FEAA2D0}    (2026-01-24 01:13:58)
[Threaded comment]
Your version of Excel allows you to read this threaded comment; however, any edits to it will get removed if the file is opened in a newer version of Excel. Learn more: https://go.microsoft.com/fwlink/?linkid=870924
Comment:
    Value will be somewhat of strategy - if client keeps the house, find the lowest value from Zillow, Realtor.com, Redfin, Trulia, etc. and use that amount - if OP keeps the house, find the highest value from Zillow, Realtor.com, Redfin, Trulia, etc. and use that amount - if the parties are splitting then take the average of the values from Zillow, Realtor.com, Redfin, Trulia, etc.</t>
      </text>
    </comment>
  </commentList>
  <extLst>
    <ext uri="GoogleSheetsCustomDataVersion2">
      <go:sheetsCustomData xmlns:go="http://customooxmlschemas.google.com/" r:id="rId1" roundtripDataSignature="AMtx7mg2Qw2h+yW1LtjhjvR25bitpasPx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6">
      <text>
        <t xml:space="preserve">======
ID#AAABzAprbzk
tc={0AAD98B5-52AC-204F-9326-4F4C9FEAA2D0}    (2026-01-24 01:13:58)
[Threaded comment]
Your version of Excel allows you to read this threaded comment; however, any edits to it will get removed if the file is opened in a newer version of Excel. Learn more: https://go.microsoft.com/fwlink/?linkid=870924
Comment:
    Value will be somewhat of strategy - if client keeps the house, find the lowest value from Zillow, Realtor.com, Redfin, Trulia, etc. and use that amount - if OP keeps the house, find the highest value from Zillow, Realtor.com, Redfin, Trulia, etc. and use that amount - if the parties are splitting then take the average of the values from Zillow, Realtor.com, Redfin, Trulia, etc.</t>
      </text>
    </comment>
  </commentList>
  <extLst>
    <ext uri="GoogleSheetsCustomDataVersion2">
      <go:sheetsCustomData xmlns:go="http://customooxmlschemas.google.com/" r:id="rId1" roundtripDataSignature="AMtx7miAZNJQUJmxRAzP1KVOTWi6bd2Lmw=="/>
    </ext>
  </extLst>
</comments>
</file>

<file path=xl/sharedStrings.xml><?xml version="1.0" encoding="utf-8"?>
<sst xmlns="http://schemas.openxmlformats.org/spreadsheetml/2006/main" count="171" uniqueCount="109">
  <si>
    <t>Market Value</t>
  </si>
  <si>
    <r>
      <rPr>
        <rFont val="Times New Roman"/>
        <b/>
        <color theme="1"/>
        <sz val="11.0"/>
      </rPr>
      <t xml:space="preserve">Debt Balance
</t>
    </r>
    <r>
      <rPr>
        <rFont val="Times New Roman"/>
        <b val="0"/>
        <color theme="1"/>
        <sz val="9.0"/>
      </rPr>
      <t xml:space="preserve">(Enter debts as </t>
    </r>
    <r>
      <rPr>
        <rFont val="Times New Roman"/>
        <b val="0"/>
        <color rgb="FFFF0000"/>
        <sz val="9.0"/>
      </rPr>
      <t>negative</t>
    </r>
    <r>
      <rPr>
        <rFont val="Times New Roman"/>
        <b val="0"/>
        <color theme="1"/>
        <sz val="9.0"/>
      </rPr>
      <t xml:space="preserve"> values)</t>
    </r>
  </si>
  <si>
    <r>
      <rPr>
        <rFont val="Times New Roman"/>
        <b/>
        <color theme="1"/>
        <sz val="11.0"/>
      </rPr>
      <t xml:space="preserve">Net Value: 
</t>
    </r>
    <r>
      <rPr>
        <rFont val="Times New Roman"/>
        <b val="0"/>
        <color theme="1"/>
        <sz val="9.0"/>
      </rPr>
      <t>(Assets less Debt)</t>
    </r>
  </si>
  <si>
    <t>Description</t>
  </si>
  <si>
    <t>Distribute To
 Spouse 1</t>
  </si>
  <si>
    <t>Distribute To 
Spouse 2</t>
  </si>
  <si>
    <t>Notes</t>
  </si>
  <si>
    <t>Real Property</t>
  </si>
  <si>
    <t>Bank Accounts</t>
  </si>
  <si>
    <t>Business Interests</t>
  </si>
  <si>
    <t>Retirement Benefits</t>
  </si>
  <si>
    <t>Stock Options</t>
  </si>
  <si>
    <t>Personal Property (Furniture, Electronics, Firearms, Jewelry, etc)</t>
  </si>
  <si>
    <t xml:space="preserve">Life Insurance / Annuities </t>
  </si>
  <si>
    <t>Vehicles</t>
  </si>
  <si>
    <t xml:space="preserve">Credit Cards </t>
  </si>
  <si>
    <t>Bonuses</t>
  </si>
  <si>
    <t xml:space="preserve">Other Debts &amp; Liabilities </t>
  </si>
  <si>
    <t>Federal Income Taxes</t>
  </si>
  <si>
    <t xml:space="preserve">Attorney's &amp; Expert Fees </t>
  </si>
  <si>
    <t>Sub Totals</t>
  </si>
  <si>
    <t>$ Difference between Spouse 1 and Spouse 2</t>
  </si>
  <si>
    <r>
      <rPr>
        <rFont val="Times New Roman"/>
        <color theme="1"/>
        <sz val="11.0"/>
      </rPr>
      <t xml:space="preserve">$ Difference between Spouse 1 and Spouse 2 </t>
    </r>
    <r>
      <rPr>
        <rFont val="Calibri"/>
        <color theme="1"/>
        <sz val="11.0"/>
      </rPr>
      <t>÷</t>
    </r>
    <r>
      <rPr>
        <rFont val="Times New Roman"/>
        <color theme="1"/>
        <sz val="11.0"/>
      </rPr>
      <t xml:space="preserve"> 2</t>
    </r>
  </si>
  <si>
    <t>% Distribution before Equalization</t>
  </si>
  <si>
    <r>
      <rPr>
        <rFont val="Times New Roman"/>
        <b/>
        <color theme="1"/>
        <sz val="11.0"/>
      </rPr>
      <t>Amt needed to Equalize</t>
    </r>
    <r>
      <rPr>
        <rFont val="Times New Roman"/>
        <color theme="1"/>
        <sz val="9.0"/>
      </rPr>
      <t xml:space="preserve"> (Use figure from Cell "$ Difference between Spouse 2 and Spouse 2 ÷ 2" and </t>
    </r>
    <r>
      <rPr>
        <rFont val="Times New Roman"/>
        <color rgb="FFFF0000"/>
        <sz val="9.0"/>
      </rPr>
      <t>reverse +/-</t>
    </r>
    <r>
      <rPr>
        <rFont val="Times New Roman"/>
        <color theme="1"/>
        <sz val="9.0"/>
      </rPr>
      <t>)</t>
    </r>
  </si>
  <si>
    <t>Total</t>
  </si>
  <si>
    <t>Spouse 1's Separate Property</t>
  </si>
  <si>
    <t>Spouse 2's Separate Property</t>
  </si>
  <si>
    <t>Children's Property</t>
  </si>
  <si>
    <t>Community</t>
  </si>
  <si>
    <t>Separate Property 
(Wife)</t>
  </si>
  <si>
    <t>Separate Property 
(Husband)</t>
  </si>
  <si>
    <t>Example: Furniture</t>
  </si>
  <si>
    <t>Example: Silverware</t>
  </si>
  <si>
    <t>Example: Power tools</t>
  </si>
  <si>
    <t>Example: TV</t>
  </si>
  <si>
    <t>General Info for Spreadsheet Preparation:</t>
  </si>
  <si>
    <t>Reimbursement Claim:</t>
  </si>
  <si>
    <r>
      <rPr>
        <rFont val="Calibri (Body)"/>
        <color rgb="FFFF0000"/>
        <sz val="11.0"/>
      </rPr>
      <t>Waste Claim:</t>
    </r>
    <r>
      <rPr>
        <rFont val="Calibri"/>
        <color rgb="FF0432FF"/>
        <sz val="11.0"/>
      </rPr>
      <t xml:space="preserve">
</t>
    </r>
  </si>
  <si>
    <t>Community or Separate Property</t>
  </si>
  <si>
    <t>Community owes SP estate: Debt to the community (negative). Confirm what is owed to SP estate under confirmation of separate property. Also include how it will be paid, if necessary.</t>
  </si>
  <si>
    <t>Credit to the community (positive to the community and assign to party who incurred the expenses).</t>
  </si>
  <si>
    <t>Percentage Division of Asset or Debt</t>
  </si>
  <si>
    <t>Include decription in notes columns on spreadsheet.</t>
  </si>
  <si>
    <r>
      <rPr>
        <rFont val="Calibri (Body)"/>
        <color rgb="FF0432FF"/>
        <sz val="11.0"/>
      </rPr>
      <t>Include decription in notes columns on spreadsheet.</t>
    </r>
    <r>
      <rPr>
        <rFont val="Calibri"/>
        <color rgb="FF0432FF"/>
        <sz val="11.0"/>
      </rPr>
      <t xml:space="preserve">
</t>
    </r>
  </si>
  <si>
    <t>Is the house going to be sold?</t>
  </si>
  <si>
    <t>Separate owes CP estate: credit to community estate. Assign to one party or the other and determine how it will be repaid, if necessary.</t>
  </si>
  <si>
    <r>
      <rPr>
        <rFont val="Times New Roman"/>
        <b/>
        <color theme="1"/>
        <sz val="11.0"/>
      </rPr>
      <t xml:space="preserve">Value: Assets &amp; Debts
</t>
    </r>
    <r>
      <rPr>
        <rFont val="Times New Roman"/>
        <b val="0"/>
        <color theme="1"/>
        <sz val="9.0"/>
      </rPr>
      <t xml:space="preserve">(Enter debts as </t>
    </r>
    <r>
      <rPr>
        <rFont val="Times New Roman"/>
        <b val="0"/>
        <color rgb="FFFF0000"/>
        <sz val="9.0"/>
      </rPr>
      <t>negative</t>
    </r>
    <r>
      <rPr>
        <rFont val="Times New Roman"/>
        <b val="0"/>
        <color theme="1"/>
        <sz val="9.0"/>
      </rPr>
      <t xml:space="preserve"> values)</t>
    </r>
  </si>
  <si>
    <t>Balance as of:</t>
  </si>
  <si>
    <t>Separate Property 
(Spouse 1)</t>
  </si>
  <si>
    <t>Separate Property 
(Spouse 2)</t>
  </si>
  <si>
    <t>% to 
Spouse 1</t>
  </si>
  <si>
    <t>Distribute To Spouse 1</t>
  </si>
  <si>
    <t>% to 
Spouse 2</t>
  </si>
  <si>
    <t xml:space="preserve">Date of Marriage: </t>
  </si>
  <si>
    <r>
      <rPr>
        <rFont val="Times New Roman"/>
        <b/>
        <i/>
        <color theme="1"/>
        <sz val="12.0"/>
        <u/>
      </rPr>
      <t>Real Estate:</t>
    </r>
    <r>
      <rPr>
        <rFont val="Times New Roman"/>
        <b val="0"/>
        <i val="0"/>
        <color theme="1"/>
        <sz val="12.0"/>
        <u/>
      </rPr>
      <t xml:space="preserve"> Reduce by 8% for realtor fees and closing costs, but only if the house is to be sold. See Sloan v. Sloan  2024 Tex. App. LEXIS 7441(Tex.App.--Ft. Worth, Oct. 17, 2024).</t>
    </r>
  </si>
  <si>
    <t>Example: Real Property 1</t>
  </si>
  <si>
    <t xml:space="preserve">Source of Value: see comment. </t>
  </si>
  <si>
    <r>
      <rPr>
        <rFont val="Times New Roman"/>
        <color theme="1"/>
        <sz val="11.0"/>
      </rPr>
      <t xml:space="preserve">Example: Debt 1 on Real Property 1 </t>
    </r>
    <r>
      <rPr>
        <rFont val="Times New Roman"/>
        <color theme="1"/>
        <sz val="9.0"/>
      </rPr>
      <t>(enter debt as a negative number)</t>
    </r>
  </si>
  <si>
    <t>Example: Real Property 2</t>
  </si>
  <si>
    <r>
      <rPr>
        <rFont val="Times New Roman"/>
        <color theme="1"/>
        <sz val="11.0"/>
      </rPr>
      <t xml:space="preserve">Example: Debt 1 on Real Property 2 </t>
    </r>
    <r>
      <rPr>
        <rFont val="Times New Roman"/>
        <color theme="1"/>
        <sz val="9.0"/>
      </rPr>
      <t>(enter debt as a negative number)</t>
    </r>
  </si>
  <si>
    <r>
      <rPr>
        <rFont val="Times New Roman"/>
        <color theme="1"/>
        <sz val="11.0"/>
      </rPr>
      <t xml:space="preserve">Example: Debt 2 on Real Property 2 </t>
    </r>
    <r>
      <rPr>
        <rFont val="Times New Roman"/>
        <color theme="1"/>
        <sz val="9.0"/>
      </rPr>
      <t>(enter debt as a negative number)</t>
    </r>
  </si>
  <si>
    <t>Example: Bank Account 1</t>
  </si>
  <si>
    <t>Example: Bank Account 2</t>
  </si>
  <si>
    <t>Percentage or dollar amount? Gains and losses? Vesting value include loans? Valation date?</t>
  </si>
  <si>
    <t xml:space="preserve">In Spouse 1 Possession </t>
  </si>
  <si>
    <t xml:space="preserve">In Spouse 2 Possession </t>
  </si>
  <si>
    <t>Policies ino:</t>
  </si>
  <si>
    <t xml:space="preserve">Policies ino: </t>
  </si>
  <si>
    <t>Example: Car 1</t>
  </si>
  <si>
    <t>Source of Value: Kelley Blue Book</t>
  </si>
  <si>
    <r>
      <rPr>
        <rFont val="Times New Roman"/>
        <color theme="1"/>
        <sz val="11.0"/>
      </rPr>
      <t xml:space="preserve">Example: Debt 1 on Car 1 </t>
    </r>
    <r>
      <rPr>
        <rFont val="Times New Roman"/>
        <color theme="1"/>
        <sz val="9.0"/>
      </rPr>
      <t xml:space="preserve">(enter debt as a </t>
    </r>
    <r>
      <rPr>
        <rFont val="Times New Roman"/>
        <color rgb="FFFF0000"/>
        <sz val="9.0"/>
      </rPr>
      <t>negative</t>
    </r>
    <r>
      <rPr>
        <rFont val="Times New Roman"/>
        <color theme="1"/>
        <sz val="9.0"/>
      </rPr>
      <t xml:space="preserve"> number)</t>
    </r>
  </si>
  <si>
    <t>Example: Car 2</t>
  </si>
  <si>
    <r>
      <rPr>
        <rFont val="Times New Roman"/>
        <color theme="1"/>
        <sz val="11.0"/>
      </rPr>
      <t xml:space="preserve">Example: Debt 1 on Car 2 </t>
    </r>
    <r>
      <rPr>
        <rFont val="Times New Roman"/>
        <color theme="1"/>
        <sz val="9.0"/>
      </rPr>
      <t xml:space="preserve">(enter debt as a </t>
    </r>
    <r>
      <rPr>
        <rFont val="Times New Roman"/>
        <color rgb="FFFF0000"/>
        <sz val="9.0"/>
      </rPr>
      <t>negative</t>
    </r>
    <r>
      <rPr>
        <rFont val="Times New Roman"/>
        <color theme="1"/>
        <sz val="9.0"/>
      </rPr>
      <t xml:space="preserve"> number)</t>
    </r>
  </si>
  <si>
    <r>
      <rPr>
        <rFont val="Times New Roman"/>
        <color theme="1"/>
        <sz val="11.0"/>
      </rPr>
      <t xml:space="preserve">Example: Credit Card 1 </t>
    </r>
    <r>
      <rPr>
        <rFont val="Times New Roman"/>
        <color theme="1"/>
        <sz val="9.0"/>
      </rPr>
      <t xml:space="preserve">(enter debt as a </t>
    </r>
    <r>
      <rPr>
        <rFont val="Times New Roman"/>
        <color rgb="FFFF0000"/>
        <sz val="9.0"/>
      </rPr>
      <t>negative</t>
    </r>
    <r>
      <rPr>
        <rFont val="Times New Roman"/>
        <color theme="1"/>
        <sz val="9.0"/>
      </rPr>
      <t xml:space="preserve"> number)</t>
    </r>
  </si>
  <si>
    <r>
      <rPr>
        <rFont val="Times New Roman"/>
        <color theme="1"/>
        <sz val="11.0"/>
      </rPr>
      <t xml:space="preserve">Example: Credit Card 2 </t>
    </r>
    <r>
      <rPr>
        <rFont val="Times New Roman"/>
        <color theme="1"/>
        <sz val="9.0"/>
      </rPr>
      <t xml:space="preserve">(enter debt as a </t>
    </r>
    <r>
      <rPr>
        <rFont val="Times New Roman"/>
        <color rgb="FFFF0000"/>
        <sz val="9.0"/>
      </rPr>
      <t>negative</t>
    </r>
    <r>
      <rPr>
        <rFont val="Times New Roman"/>
        <color theme="1"/>
        <sz val="9.0"/>
      </rPr>
      <t xml:space="preserve"> number)</t>
    </r>
  </si>
  <si>
    <r>
      <rPr>
        <rFont val="Times New Roman"/>
        <color theme="1"/>
        <sz val="11.0"/>
      </rPr>
      <t xml:space="preserve">Example: Credit Card 3 </t>
    </r>
    <r>
      <rPr>
        <rFont val="Times New Roman"/>
        <color theme="1"/>
        <sz val="9.0"/>
      </rPr>
      <t xml:space="preserve">(enter debt as a </t>
    </r>
    <r>
      <rPr>
        <rFont val="Times New Roman"/>
        <color rgb="FFFF0000"/>
        <sz val="9.0"/>
      </rPr>
      <t>negative</t>
    </r>
    <r>
      <rPr>
        <rFont val="Times New Roman"/>
        <color theme="1"/>
        <sz val="9.0"/>
      </rPr>
      <t xml:space="preserve"> number)</t>
    </r>
  </si>
  <si>
    <t>Other Assets &amp; Debts</t>
  </si>
  <si>
    <r>
      <rPr>
        <rFont val="Times New Roman"/>
        <color theme="1"/>
        <sz val="11.0"/>
      </rPr>
      <t xml:space="preserve">Example: Promssory Note </t>
    </r>
    <r>
      <rPr>
        <rFont val="Times New Roman"/>
        <color theme="1"/>
        <sz val="9.0"/>
      </rPr>
      <t xml:space="preserve">(owing to someone else - enter debt as a </t>
    </r>
    <r>
      <rPr>
        <rFont val="Times New Roman"/>
        <color rgb="FFFF0000"/>
        <sz val="9.0"/>
      </rPr>
      <t>negative</t>
    </r>
    <r>
      <rPr>
        <rFont val="Times New Roman"/>
        <color theme="1"/>
        <sz val="9.0"/>
      </rPr>
      <t>)</t>
    </r>
  </si>
  <si>
    <r>
      <rPr>
        <rFont val="Times New Roman"/>
        <color theme="1"/>
        <sz val="11.0"/>
      </rPr>
      <t xml:space="preserve">Example: Promssory Note </t>
    </r>
    <r>
      <rPr>
        <rFont val="Times New Roman"/>
        <color theme="1"/>
        <sz val="9.0"/>
      </rPr>
      <t>(owing from someone else to spouse)</t>
    </r>
  </si>
  <si>
    <t>Example: Gold coins</t>
  </si>
  <si>
    <r>
      <rPr>
        <rFont val="Times New Roman"/>
        <color theme="1"/>
        <sz val="11.0"/>
      </rPr>
      <t xml:space="preserve">Example: Waste Claim </t>
    </r>
    <r>
      <rPr>
        <rFont val="Times New Roman"/>
        <color theme="1"/>
        <sz val="9.0"/>
      </rPr>
      <t>(will be assigned to the wasting spouse as "already received")</t>
    </r>
  </si>
  <si>
    <t>Attorneys Fees Owed to Hembree Bell Law Firm:</t>
  </si>
  <si>
    <t>Attorneys Fees Owed to Opposing Counsel:</t>
  </si>
  <si>
    <t>Expert 1 Fees</t>
  </si>
  <si>
    <t>Expert 2 Fees</t>
  </si>
  <si>
    <t>Expert 3 Fees</t>
  </si>
  <si>
    <t>Expert 4 Fees</t>
  </si>
  <si>
    <r>
      <rPr>
        <rFont val="Times New Roman"/>
        <color theme="1"/>
        <sz val="11.0"/>
      </rPr>
      <t xml:space="preserve">$ Difference between Spouse 1 and Spouse 2 </t>
    </r>
    <r>
      <rPr>
        <rFont val="Calibri"/>
        <color theme="1"/>
        <sz val="11.0"/>
      </rPr>
      <t>÷</t>
    </r>
    <r>
      <rPr>
        <rFont val="Times New Roman"/>
        <color theme="1"/>
        <sz val="11.0"/>
      </rPr>
      <t xml:space="preserve"> 2</t>
    </r>
  </si>
  <si>
    <r>
      <rPr>
        <rFont val="Times New Roman"/>
        <b/>
        <color theme="1"/>
        <sz val="12.0"/>
      </rPr>
      <t xml:space="preserve">Amt needed to Equalize </t>
    </r>
    <r>
      <rPr>
        <rFont val="Times New Roman"/>
        <b val="0"/>
        <color theme="1"/>
        <sz val="10.0"/>
      </rPr>
      <t>(use figure from Cell H166 and reverse +/-)</t>
    </r>
  </si>
  <si>
    <r>
      <rPr>
        <rFont val="Times New Roman"/>
        <b/>
        <color theme="1"/>
        <sz val="11.0"/>
      </rPr>
      <t xml:space="preserve">Debt
</t>
    </r>
    <r>
      <rPr>
        <rFont val="Times New Roman"/>
        <b val="0"/>
        <color theme="1"/>
        <sz val="9.0"/>
      </rPr>
      <t xml:space="preserve">(Enter debts as </t>
    </r>
    <r>
      <rPr>
        <rFont val="Times New Roman"/>
        <b val="0"/>
        <color rgb="FFFF0000"/>
        <sz val="9.0"/>
      </rPr>
      <t>negative</t>
    </r>
    <r>
      <rPr>
        <rFont val="Times New Roman"/>
        <b val="0"/>
        <color theme="1"/>
        <sz val="9.0"/>
      </rPr>
      <t xml:space="preserve"> values)</t>
    </r>
  </si>
  <si>
    <t>Value: Assets less Debt</t>
  </si>
  <si>
    <t>% to Wife</t>
  </si>
  <si>
    <t>Distribute To Wife</t>
  </si>
  <si>
    <t>% To Husband</t>
  </si>
  <si>
    <t>Distribute To Husband</t>
  </si>
  <si>
    <r>
      <rPr>
        <rFont val="Times New Roman"/>
        <b/>
        <i/>
        <color theme="1"/>
        <sz val="12.0"/>
        <u/>
      </rPr>
      <t>Real Estate:</t>
    </r>
    <r>
      <rPr>
        <rFont val="Times New Roman"/>
        <b val="0"/>
        <i val="0"/>
        <color theme="1"/>
        <sz val="12.0"/>
        <u/>
      </rPr>
      <t xml:space="preserve"> Reduce by 8% for realtor fees and closing costs, but only if the house is to be sold. See Sloan v. Sloan (2nd Court of Appeals Ft. Worth, Oct. 17, 2024).</t>
    </r>
  </si>
  <si>
    <t>Source of Value: see comment</t>
  </si>
  <si>
    <t>Example: Real Property 3</t>
  </si>
  <si>
    <t xml:space="preserve">In Husband Possession </t>
  </si>
  <si>
    <t xml:space="preserve">In Wife Possession </t>
  </si>
  <si>
    <t>Source of Value: KBB</t>
  </si>
  <si>
    <r>
      <rPr>
        <rFont val="Times New Roman"/>
        <color theme="1"/>
        <sz val="11.0"/>
      </rPr>
      <t xml:space="preserve">Example: Debt 1 on Car 1 </t>
    </r>
    <r>
      <rPr>
        <rFont val="Times New Roman"/>
        <color theme="1"/>
        <sz val="9.0"/>
      </rPr>
      <t>(enter debt as a negative number)</t>
    </r>
  </si>
  <si>
    <r>
      <rPr>
        <rFont val="Times New Roman"/>
        <color theme="1"/>
        <sz val="11.0"/>
      </rPr>
      <t xml:space="preserve">Example: Credit Card 1 </t>
    </r>
    <r>
      <rPr>
        <rFont val="Times New Roman"/>
        <color theme="1"/>
        <sz val="9.0"/>
      </rPr>
      <t>(enter debt as a negative number)</t>
    </r>
  </si>
  <si>
    <r>
      <rPr>
        <rFont val="Times New Roman"/>
        <color theme="1"/>
        <sz val="11.0"/>
      </rPr>
      <t xml:space="preserve">Example: Credit Card 2 </t>
    </r>
    <r>
      <rPr>
        <rFont val="Times New Roman"/>
        <color theme="1"/>
        <sz val="9.0"/>
      </rPr>
      <t>(enter debt as a negative number)</t>
    </r>
  </si>
  <si>
    <r>
      <rPr>
        <rFont val="Times New Roman"/>
        <color theme="1"/>
        <sz val="11.0"/>
      </rPr>
      <t xml:space="preserve">Example: Credit Card 3 </t>
    </r>
    <r>
      <rPr>
        <rFont val="Times New Roman"/>
        <color theme="1"/>
        <sz val="9.0"/>
      </rPr>
      <t>(enter debt as a negative number)</t>
    </r>
  </si>
  <si>
    <t>$ Difference between Wife and Husband</t>
  </si>
  <si>
    <r>
      <rPr>
        <rFont val="Times New Roman"/>
        <color theme="1"/>
        <sz val="11.0"/>
      </rPr>
      <t xml:space="preserve">$ Difference between Wife and Husband </t>
    </r>
    <r>
      <rPr>
        <rFont val="Calibri"/>
        <color theme="1"/>
        <sz val="11.0"/>
      </rPr>
      <t>÷</t>
    </r>
    <r>
      <rPr>
        <rFont val="Times New Roman"/>
        <color theme="1"/>
        <sz val="11.0"/>
      </rPr>
      <t xml:space="preserve"> 2</t>
    </r>
  </si>
  <si>
    <t xml:space="preserve">Amt needed to Equalize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</si>
</sst>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17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Times New Roman"/>
    </font>
    <font>
      <b/>
      <i/>
      <u/>
      <sz val="12.0"/>
      <color theme="1"/>
      <name val="Times New Roman"/>
    </font>
    <font>
      <sz val="11.0"/>
      <color theme="1"/>
      <name val="Times New Roman"/>
    </font>
    <font>
      <b/>
      <sz val="12.0"/>
      <color theme="1"/>
      <name val="Times New Roman"/>
    </font>
    <font>
      <sz val="9.0"/>
      <color theme="1"/>
      <name val="Times New Roman"/>
    </font>
    <font>
      <b/>
      <i/>
      <u/>
      <sz val="12.0"/>
      <color theme="1"/>
      <name val="Times New Roman"/>
    </font>
    <font>
      <b/>
      <i/>
      <u/>
      <sz val="12.0"/>
      <color theme="1"/>
      <name val="Times New Roman"/>
    </font>
    <font/>
    <font>
      <b/>
      <i/>
      <u/>
      <sz val="12.0"/>
      <color theme="1"/>
      <name val="Times New Roman"/>
    </font>
    <font>
      <sz val="11.0"/>
      <color rgb="FFFF0000"/>
      <name val="Calibri"/>
    </font>
    <font>
      <sz val="11.0"/>
      <color rgb="FF0432FF"/>
      <name val="Calibri"/>
    </font>
    <font>
      <sz val="12.0"/>
      <color theme="1"/>
      <name val="Times New Roman"/>
    </font>
    <font>
      <b/>
      <i/>
      <u/>
      <sz val="11.0"/>
      <color theme="1"/>
      <name val="Times New Roman"/>
    </font>
    <font>
      <b/>
      <i/>
      <u/>
      <sz val="12.0"/>
      <color theme="1"/>
      <name val="Times New Roman"/>
    </font>
    <font>
      <b/>
      <i/>
      <u/>
      <sz val="11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  <fill>
      <patternFill patternType="solid">
        <fgColor rgb="FFDBE5F1"/>
        <bgColor rgb="FFDBE5F1"/>
      </patternFill>
    </fill>
    <fill>
      <patternFill patternType="solid">
        <fgColor rgb="FFC6D9F0"/>
        <bgColor rgb="FFC6D9F0"/>
      </patternFill>
    </fill>
    <fill>
      <patternFill patternType="solid">
        <fgColor rgb="FFF2F2F2"/>
        <bgColor rgb="FFF2F2F2"/>
      </patternFill>
    </fill>
  </fills>
  <borders count="40">
    <border/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4" fillId="2" fontId="2" numFmtId="0" xfId="0" applyAlignment="1" applyBorder="1" applyFont="1">
      <alignment horizontal="center" vertical="center"/>
    </xf>
    <xf borderId="4" fillId="2" fontId="2" numFmtId="0" xfId="0" applyAlignment="1" applyBorder="1" applyFont="1">
      <alignment horizontal="center" shrinkToFit="0" vertical="center" wrapText="1"/>
    </xf>
    <xf borderId="5" fillId="2" fontId="2" numFmtId="0" xfId="0" applyAlignment="1" applyBorder="1" applyFont="1">
      <alignment horizontal="center" shrinkToFit="0" vertical="center" wrapText="1"/>
    </xf>
    <xf borderId="6" fillId="3" fontId="3" numFmtId="0" xfId="0" applyBorder="1" applyFill="1" applyFont="1"/>
    <xf borderId="6" fillId="3" fontId="4" numFmtId="0" xfId="0" applyBorder="1" applyFont="1"/>
    <xf borderId="6" fillId="0" fontId="4" numFmtId="164" xfId="0" applyAlignment="1" applyBorder="1" applyFont="1" applyNumberFormat="1">
      <alignment horizontal="center"/>
    </xf>
    <xf borderId="7" fillId="0" fontId="4" numFmtId="164" xfId="0" applyAlignment="1" applyBorder="1" applyFont="1" applyNumberFormat="1">
      <alignment horizontal="center"/>
    </xf>
    <xf borderId="6" fillId="0" fontId="4" numFmtId="0" xfId="0" applyBorder="1" applyFont="1"/>
    <xf borderId="6" fillId="0" fontId="4" numFmtId="164" xfId="0" applyAlignment="1" applyBorder="1" applyFont="1" applyNumberFormat="1">
      <alignment horizontal="center" shrinkToFit="0" wrapText="1"/>
    </xf>
    <xf borderId="8" fillId="0" fontId="4" numFmtId="0" xfId="0" applyAlignment="1" applyBorder="1" applyFont="1">
      <alignment shrinkToFit="0" wrapText="1"/>
    </xf>
    <xf borderId="9" fillId="0" fontId="4" numFmtId="0" xfId="0" applyBorder="1" applyFont="1"/>
    <xf borderId="6" fillId="0" fontId="4" numFmtId="0" xfId="0" applyAlignment="1" applyBorder="1" applyFont="1">
      <alignment shrinkToFit="0" wrapText="1"/>
    </xf>
    <xf borderId="6" fillId="3" fontId="4" numFmtId="0" xfId="0" applyAlignment="1" applyBorder="1" applyFont="1">
      <alignment shrinkToFit="0" wrapText="1"/>
    </xf>
    <xf borderId="10" fillId="0" fontId="4" numFmtId="164" xfId="0" applyAlignment="1" applyBorder="1" applyFont="1" applyNumberFormat="1">
      <alignment horizontal="center"/>
    </xf>
    <xf borderId="10" fillId="0" fontId="4" numFmtId="0" xfId="0" applyBorder="1" applyFont="1"/>
    <xf borderId="10" fillId="0" fontId="4" numFmtId="164" xfId="0" applyAlignment="1" applyBorder="1" applyFont="1" applyNumberFormat="1">
      <alignment horizontal="center" shrinkToFit="0" wrapText="1"/>
    </xf>
    <xf borderId="10" fillId="0" fontId="4" numFmtId="0" xfId="0" applyAlignment="1" applyBorder="1" applyFont="1">
      <alignment shrinkToFit="0" wrapText="1"/>
    </xf>
    <xf borderId="11" fillId="4" fontId="5" numFmtId="164" xfId="0" applyAlignment="1" applyBorder="1" applyFill="1" applyFont="1" applyNumberFormat="1">
      <alignment horizontal="center"/>
    </xf>
    <xf borderId="12" fillId="4" fontId="5" numFmtId="164" xfId="0" applyAlignment="1" applyBorder="1" applyFont="1" applyNumberFormat="1">
      <alignment horizontal="center"/>
    </xf>
    <xf borderId="12" fillId="4" fontId="5" numFmtId="0" xfId="0" applyBorder="1" applyFont="1"/>
    <xf borderId="12" fillId="4" fontId="5" numFmtId="164" xfId="0" applyAlignment="1" applyBorder="1" applyFont="1" applyNumberFormat="1">
      <alignment horizontal="center" shrinkToFit="0" wrapText="1"/>
    </xf>
    <xf borderId="13" fillId="4" fontId="4" numFmtId="0" xfId="0" applyAlignment="1" applyBorder="1" applyFont="1">
      <alignment shrinkToFit="0" wrapText="1"/>
    </xf>
    <xf borderId="14" fillId="5" fontId="4" numFmtId="0" xfId="0" applyBorder="1" applyFill="1" applyFont="1"/>
    <xf borderId="6" fillId="5" fontId="4" numFmtId="0" xfId="0" applyBorder="1" applyFont="1"/>
    <xf borderId="6" fillId="5" fontId="4" numFmtId="164" xfId="0" applyAlignment="1" applyBorder="1" applyFont="1" applyNumberFormat="1">
      <alignment horizontal="center"/>
    </xf>
    <xf borderId="6" fillId="5" fontId="4" numFmtId="164" xfId="0" applyAlignment="1" applyBorder="1" applyFont="1" applyNumberFormat="1">
      <alignment horizontal="center" shrinkToFit="0" wrapText="1"/>
    </xf>
    <xf borderId="8" fillId="5" fontId="4" numFmtId="0" xfId="0" applyAlignment="1" applyBorder="1" applyFont="1">
      <alignment shrinkToFit="0" wrapText="1"/>
    </xf>
    <xf borderId="14" fillId="3" fontId="5" numFmtId="0" xfId="0" applyBorder="1" applyFont="1"/>
    <xf borderId="6" fillId="3" fontId="5" numFmtId="0" xfId="0" applyBorder="1" applyFont="1"/>
    <xf borderId="6" fillId="3" fontId="4" numFmtId="164" xfId="0" applyAlignment="1" applyBorder="1" applyFont="1" applyNumberFormat="1">
      <alignment horizontal="center"/>
    </xf>
    <xf borderId="6" fillId="3" fontId="5" numFmtId="10" xfId="0" applyAlignment="1" applyBorder="1" applyFont="1" applyNumberFormat="1">
      <alignment horizontal="center" shrinkToFit="0" wrapText="1"/>
    </xf>
    <xf borderId="8" fillId="3" fontId="6" numFmtId="0" xfId="0" applyAlignment="1" applyBorder="1" applyFont="1">
      <alignment shrinkToFit="0" wrapText="1"/>
    </xf>
    <xf borderId="6" fillId="5" fontId="4" numFmtId="0" xfId="0" applyAlignment="1" applyBorder="1" applyFont="1">
      <alignment shrinkToFit="0" wrapText="1"/>
    </xf>
    <xf borderId="8" fillId="5" fontId="6" numFmtId="0" xfId="0" applyAlignment="1" applyBorder="1" applyFont="1">
      <alignment shrinkToFit="0" wrapText="1"/>
    </xf>
    <xf borderId="6" fillId="3" fontId="4" numFmtId="0" xfId="0" applyAlignment="1" applyBorder="1" applyFont="1">
      <alignment horizontal="center"/>
    </xf>
    <xf borderId="6" fillId="3" fontId="5" numFmtId="164" xfId="0" applyAlignment="1" applyBorder="1" applyFont="1" applyNumberFormat="1">
      <alignment horizontal="center" shrinkToFit="0" wrapText="1"/>
    </xf>
    <xf borderId="8" fillId="3" fontId="4" numFmtId="0" xfId="0" applyAlignment="1" applyBorder="1" applyFont="1">
      <alignment shrinkToFit="0" wrapText="1"/>
    </xf>
    <xf borderId="15" fillId="3" fontId="4" numFmtId="0" xfId="0" applyBorder="1" applyFont="1"/>
    <xf borderId="16" fillId="3" fontId="4" numFmtId="0" xfId="0" applyBorder="1" applyFont="1"/>
    <xf borderId="16" fillId="3" fontId="4" numFmtId="0" xfId="0" applyAlignment="1" applyBorder="1" applyFont="1">
      <alignment horizontal="center"/>
    </xf>
    <xf borderId="16" fillId="3" fontId="5" numFmtId="10" xfId="0" applyAlignment="1" applyBorder="1" applyFont="1" applyNumberFormat="1">
      <alignment horizontal="center" shrinkToFit="0" wrapText="1"/>
    </xf>
    <xf borderId="17" fillId="3" fontId="4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  <xf borderId="18" fillId="3" fontId="7" numFmtId="0" xfId="0" applyBorder="1" applyFont="1"/>
    <xf borderId="12" fillId="3" fontId="8" numFmtId="0" xfId="0" applyBorder="1" applyFont="1"/>
    <xf borderId="12" fillId="3" fontId="4" numFmtId="0" xfId="0" applyAlignment="1" applyBorder="1" applyFont="1">
      <alignment horizontal="center"/>
    </xf>
    <xf borderId="19" fillId="3" fontId="2" numFmtId="0" xfId="0" applyAlignment="1" applyBorder="1" applyFont="1">
      <alignment horizontal="center" shrinkToFit="0" wrapText="1"/>
    </xf>
    <xf borderId="20" fillId="0" fontId="9" numFmtId="0" xfId="0" applyBorder="1" applyFont="1"/>
    <xf borderId="21" fillId="0" fontId="9" numFmtId="0" xfId="0" applyBorder="1" applyFont="1"/>
    <xf borderId="14" fillId="0" fontId="4" numFmtId="164" xfId="0" applyAlignment="1" applyBorder="1" applyFont="1" applyNumberFormat="1">
      <alignment horizontal="center"/>
    </xf>
    <xf borderId="7" fillId="0" fontId="4" numFmtId="0" xfId="0" applyAlignment="1" applyBorder="1" applyFont="1">
      <alignment shrinkToFit="0" wrapText="1"/>
    </xf>
    <xf borderId="22" fillId="0" fontId="9" numFmtId="0" xfId="0" applyBorder="1" applyFont="1"/>
    <xf borderId="23" fillId="0" fontId="9" numFmtId="0" xfId="0" applyBorder="1" applyFont="1"/>
    <xf borderId="16" fillId="3" fontId="4" numFmtId="164" xfId="0" applyAlignment="1" applyBorder="1" applyFont="1" applyNumberFormat="1">
      <alignment horizontal="center"/>
    </xf>
    <xf borderId="24" fillId="3" fontId="4" numFmtId="0" xfId="0" applyAlignment="1" applyBorder="1" applyFont="1">
      <alignment shrinkToFit="0" wrapText="1"/>
    </xf>
    <xf borderId="25" fillId="0" fontId="9" numFmtId="0" xfId="0" applyBorder="1" applyFont="1"/>
    <xf borderId="26" fillId="0" fontId="9" numFmtId="0" xfId="0" applyBorder="1" applyFont="1"/>
    <xf borderId="11" fillId="3" fontId="10" numFmtId="0" xfId="0" applyBorder="1" applyFont="1"/>
    <xf borderId="27" fillId="2" fontId="2" numFmtId="0" xfId="0" applyAlignment="1" applyBorder="1" applyFont="1">
      <alignment horizontal="center" vertical="center"/>
    </xf>
    <xf borderId="28" fillId="2" fontId="2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29" fillId="3" fontId="5" numFmtId="0" xfId="0" applyAlignment="1" applyBorder="1" applyFont="1">
      <alignment horizontal="center" vertical="center"/>
    </xf>
    <xf borderId="28" fillId="4" fontId="5" numFmtId="164" xfId="0" applyAlignment="1" applyBorder="1" applyFont="1" applyNumberFormat="1">
      <alignment horizontal="center" vertical="center"/>
    </xf>
    <xf borderId="30" fillId="4" fontId="5" numFmtId="164" xfId="0" applyAlignment="1" applyBorder="1" applyFont="1" applyNumberFormat="1">
      <alignment horizontal="center" vertical="center"/>
    </xf>
    <xf borderId="0" fillId="0" fontId="11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12" numFmtId="0" xfId="0" applyAlignment="1" applyFont="1">
      <alignment horizontal="left" shrinkToFit="0" vertical="top" wrapText="1"/>
    </xf>
    <xf borderId="0" fillId="0" fontId="12" numFmtId="0" xfId="0" applyAlignment="1" applyFont="1">
      <alignment shrinkToFit="0" wrapText="1"/>
    </xf>
    <xf borderId="0" fillId="0" fontId="1" numFmtId="0" xfId="0" applyAlignment="1" applyFont="1">
      <alignment vertical="top"/>
    </xf>
    <xf borderId="30" fillId="2" fontId="2" numFmtId="0" xfId="0" applyAlignment="1" applyBorder="1" applyFont="1">
      <alignment horizontal="center" shrinkToFit="0" vertical="center" wrapText="1"/>
    </xf>
    <xf borderId="29" fillId="3" fontId="13" numFmtId="0" xfId="0" applyBorder="1" applyFont="1"/>
    <xf borderId="31" fillId="3" fontId="4" numFmtId="0" xfId="0" applyBorder="1" applyFont="1"/>
    <xf borderId="32" fillId="3" fontId="4" numFmtId="0" xfId="0" applyBorder="1" applyFont="1"/>
    <xf borderId="18" fillId="2" fontId="4" numFmtId="0" xfId="0" applyBorder="1" applyFont="1"/>
    <xf borderId="33" fillId="2" fontId="4" numFmtId="0" xfId="0" applyBorder="1" applyFont="1"/>
    <xf borderId="34" fillId="2" fontId="4" numFmtId="0" xfId="0" applyBorder="1" applyFont="1"/>
    <xf borderId="33" fillId="3" fontId="4" numFmtId="0" xfId="0" applyBorder="1" applyFont="1"/>
    <xf borderId="34" fillId="3" fontId="4" numFmtId="0" xfId="0" applyBorder="1" applyFont="1"/>
    <xf borderId="6" fillId="0" fontId="4" numFmtId="14" xfId="0" applyAlignment="1" applyBorder="1" applyFont="1" applyNumberFormat="1">
      <alignment horizontal="center"/>
    </xf>
    <xf borderId="6" fillId="0" fontId="4" numFmtId="10" xfId="0" applyAlignment="1" applyBorder="1" applyFont="1" applyNumberFormat="1">
      <alignment horizontal="center"/>
    </xf>
    <xf borderId="6" fillId="5" fontId="4" numFmtId="14" xfId="0" applyAlignment="1" applyBorder="1" applyFont="1" applyNumberFormat="1">
      <alignment horizontal="center"/>
    </xf>
    <xf borderId="6" fillId="5" fontId="4" numFmtId="10" xfId="0" applyAlignment="1" applyBorder="1" applyFont="1" applyNumberFormat="1">
      <alignment horizontal="center"/>
    </xf>
    <xf borderId="8" fillId="5" fontId="4" numFmtId="0" xfId="0" applyBorder="1" applyFont="1"/>
    <xf borderId="8" fillId="0" fontId="4" numFmtId="0" xfId="0" applyBorder="1" applyFont="1"/>
    <xf borderId="33" fillId="3" fontId="4" numFmtId="0" xfId="0" applyAlignment="1" applyBorder="1" applyFont="1">
      <alignment horizontal="center"/>
    </xf>
    <xf borderId="33" fillId="3" fontId="4" numFmtId="14" xfId="0" applyAlignment="1" applyBorder="1" applyFont="1" applyNumberFormat="1">
      <alignment horizontal="center"/>
    </xf>
    <xf borderId="33" fillId="3" fontId="4" numFmtId="164" xfId="0" applyAlignment="1" applyBorder="1" applyFont="1" applyNumberFormat="1">
      <alignment horizontal="center"/>
    </xf>
    <xf borderId="33" fillId="3" fontId="4" numFmtId="9" xfId="0" applyAlignment="1" applyBorder="1" applyFont="1" applyNumberFormat="1">
      <alignment horizontal="center"/>
    </xf>
    <xf borderId="15" fillId="5" fontId="4" numFmtId="0" xfId="0" applyBorder="1" applyFont="1"/>
    <xf borderId="16" fillId="5" fontId="4" numFmtId="164" xfId="0" applyAlignment="1" applyBorder="1" applyFont="1" applyNumberFormat="1">
      <alignment horizontal="center"/>
    </xf>
    <xf borderId="16" fillId="5" fontId="4" numFmtId="14" xfId="0" applyAlignment="1" applyBorder="1" applyFont="1" applyNumberFormat="1">
      <alignment horizontal="center"/>
    </xf>
    <xf borderId="16" fillId="5" fontId="4" numFmtId="10" xfId="0" applyAlignment="1" applyBorder="1" applyFont="1" applyNumberFormat="1">
      <alignment horizontal="center"/>
    </xf>
    <xf borderId="17" fillId="5" fontId="4" numFmtId="0" xfId="0" applyBorder="1" applyFont="1"/>
    <xf borderId="15" fillId="0" fontId="4" numFmtId="0" xfId="0" applyBorder="1" applyFont="1"/>
    <xf borderId="16" fillId="0" fontId="4" numFmtId="164" xfId="0" applyAlignment="1" applyBorder="1" applyFont="1" applyNumberFormat="1">
      <alignment horizontal="center"/>
    </xf>
    <xf borderId="16" fillId="0" fontId="4" numFmtId="14" xfId="0" applyAlignment="1" applyBorder="1" applyFont="1" applyNumberFormat="1">
      <alignment horizontal="center"/>
    </xf>
    <xf borderId="16" fillId="0" fontId="4" numFmtId="10" xfId="0" applyAlignment="1" applyBorder="1" applyFont="1" applyNumberFormat="1">
      <alignment horizontal="center"/>
    </xf>
    <xf borderId="17" fillId="0" fontId="4" numFmtId="0" xfId="0" applyBorder="1" applyFont="1"/>
    <xf borderId="18" fillId="3" fontId="14" numFmtId="0" xfId="0" applyBorder="1" applyFont="1"/>
    <xf borderId="35" fillId="0" fontId="4" numFmtId="0" xfId="0" applyBorder="1" applyFont="1"/>
    <xf borderId="10" fillId="0" fontId="4" numFmtId="14" xfId="0" applyAlignment="1" applyBorder="1" applyFont="1" applyNumberFormat="1">
      <alignment horizontal="center"/>
    </xf>
    <xf borderId="10" fillId="0" fontId="4" numFmtId="10" xfId="0" applyAlignment="1" applyBorder="1" applyFont="1" applyNumberFormat="1">
      <alignment horizontal="center"/>
    </xf>
    <xf borderId="36" fillId="0" fontId="4" numFmtId="0" xfId="0" applyBorder="1" applyFont="1"/>
    <xf borderId="11" fillId="4" fontId="5" numFmtId="0" xfId="0" applyBorder="1" applyFont="1"/>
    <xf borderId="12" fillId="4" fontId="4" numFmtId="14" xfId="0" applyAlignment="1" applyBorder="1" applyFont="1" applyNumberFormat="1">
      <alignment horizontal="center"/>
    </xf>
    <xf borderId="12" fillId="4" fontId="2" numFmtId="164" xfId="0" applyAlignment="1" applyBorder="1" applyFont="1" applyNumberFormat="1">
      <alignment horizontal="center"/>
    </xf>
    <xf borderId="12" fillId="4" fontId="4" numFmtId="9" xfId="0" applyAlignment="1" applyBorder="1" applyFont="1" applyNumberFormat="1">
      <alignment horizontal="center"/>
    </xf>
    <xf borderId="13" fillId="4" fontId="4" numFmtId="0" xfId="0" applyBorder="1" applyFont="1"/>
    <xf borderId="14" fillId="0" fontId="13" numFmtId="0" xfId="0" applyBorder="1" applyFont="1"/>
    <xf borderId="6" fillId="3" fontId="4" numFmtId="14" xfId="0" applyAlignment="1" applyBorder="1" applyFont="1" applyNumberFormat="1">
      <alignment horizontal="center"/>
    </xf>
    <xf borderId="6" fillId="3" fontId="4" numFmtId="9" xfId="0" applyAlignment="1" applyBorder="1" applyFont="1" applyNumberFormat="1">
      <alignment horizontal="center"/>
    </xf>
    <xf borderId="6" fillId="3" fontId="5" numFmtId="164" xfId="0" applyAlignment="1" applyBorder="1" applyFont="1" applyNumberFormat="1">
      <alignment horizontal="center"/>
    </xf>
    <xf borderId="8" fillId="3" fontId="4" numFmtId="0" xfId="0" applyBorder="1" applyFont="1"/>
    <xf borderId="16" fillId="3" fontId="4" numFmtId="14" xfId="0" applyAlignment="1" applyBorder="1" applyFont="1" applyNumberFormat="1">
      <alignment horizontal="center"/>
    </xf>
    <xf borderId="16" fillId="3" fontId="4" numFmtId="9" xfId="0" applyAlignment="1" applyBorder="1" applyFont="1" applyNumberFormat="1">
      <alignment horizontal="center"/>
    </xf>
    <xf borderId="16" fillId="3" fontId="5" numFmtId="10" xfId="0" applyAlignment="1" applyBorder="1" applyFont="1" applyNumberFormat="1">
      <alignment horizontal="center"/>
    </xf>
    <xf borderId="17" fillId="3" fontId="4" numFmtId="0" xfId="0" applyBorder="1" applyFont="1"/>
    <xf borderId="11" fillId="0" fontId="4" numFmtId="0" xfId="0" applyBorder="1" applyFont="1"/>
    <xf borderId="12" fillId="0" fontId="4" numFmtId="164" xfId="0" applyAlignment="1" applyBorder="1" applyFont="1" applyNumberFormat="1">
      <alignment horizontal="center"/>
    </xf>
    <xf borderId="12" fillId="0" fontId="4" numFmtId="14" xfId="0" applyAlignment="1" applyBorder="1" applyFont="1" applyNumberFormat="1">
      <alignment horizontal="center"/>
    </xf>
    <xf borderId="12" fillId="0" fontId="4" numFmtId="10" xfId="0" applyAlignment="1" applyBorder="1" applyFont="1" applyNumberFormat="1">
      <alignment horizontal="center"/>
    </xf>
    <xf borderId="13" fillId="0" fontId="4" numFmtId="0" xfId="0" applyBorder="1" applyFont="1"/>
    <xf borderId="27" fillId="3" fontId="4" numFmtId="0" xfId="0" applyBorder="1" applyFont="1"/>
    <xf borderId="28" fillId="3" fontId="4" numFmtId="0" xfId="0" applyAlignment="1" applyBorder="1" applyFont="1">
      <alignment horizontal="center"/>
    </xf>
    <xf borderId="28" fillId="3" fontId="4" numFmtId="14" xfId="0" applyAlignment="1" applyBorder="1" applyFont="1" applyNumberFormat="1">
      <alignment horizontal="center"/>
    </xf>
    <xf borderId="28" fillId="3" fontId="4" numFmtId="164" xfId="0" applyAlignment="1" applyBorder="1" applyFont="1" applyNumberFormat="1">
      <alignment horizontal="center"/>
    </xf>
    <xf borderId="28" fillId="3" fontId="4" numFmtId="9" xfId="0" applyAlignment="1" applyBorder="1" applyFont="1" applyNumberFormat="1">
      <alignment horizontal="center"/>
    </xf>
    <xf borderId="30" fillId="3" fontId="4" numFmtId="0" xfId="0" applyBorder="1" applyFont="1"/>
    <xf borderId="37" fillId="2" fontId="2" numFmtId="0" xfId="0" applyAlignment="1" applyBorder="1" applyFont="1">
      <alignment horizontal="center" vertical="center"/>
    </xf>
    <xf borderId="37" fillId="2" fontId="2" numFmtId="0" xfId="0" applyAlignment="1" applyBorder="1" applyFont="1">
      <alignment horizontal="center" shrinkToFit="0" vertical="center" wrapText="1"/>
    </xf>
    <xf borderId="31" fillId="3" fontId="13" numFmtId="0" xfId="0" applyBorder="1" applyFont="1"/>
    <xf borderId="33" fillId="3" fontId="15" numFmtId="0" xfId="0" applyBorder="1" applyFont="1"/>
    <xf borderId="38" fillId="5" fontId="4" numFmtId="0" xfId="0" applyBorder="1" applyFont="1"/>
    <xf borderId="33" fillId="3" fontId="16" numFmtId="0" xfId="0" applyBorder="1" applyFont="1"/>
    <xf borderId="9" fillId="0" fontId="13" numFmtId="0" xfId="0" applyBorder="1" applyFont="1"/>
    <xf borderId="38" fillId="3" fontId="5" numFmtId="0" xfId="0" applyBorder="1" applyFont="1"/>
    <xf borderId="39" fillId="3" fontId="4" numFmtId="0" xfId="0" applyBorder="1" applyFont="1"/>
    <xf borderId="37" fillId="3" fontId="4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7.0"/>
    <col customWidth="1" min="2" max="2" width="15.43"/>
    <col customWidth="1" min="3" max="3" width="19.14"/>
    <col customWidth="1" min="4" max="4" width="46.14"/>
    <col customWidth="1" min="5" max="5" width="17.71"/>
    <col customWidth="1" min="6" max="6" width="19.14"/>
    <col customWidth="1" min="7" max="7" width="60.29"/>
    <col customWidth="1" min="8" max="26" width="9.1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56.25" customHeight="1">
      <c r="A2" s="2" t="s">
        <v>0</v>
      </c>
      <c r="B2" s="3" t="s">
        <v>1</v>
      </c>
      <c r="C2" s="4" t="s">
        <v>2</v>
      </c>
      <c r="D2" s="5" t="s">
        <v>3</v>
      </c>
      <c r="E2" s="6" t="s">
        <v>4</v>
      </c>
      <c r="F2" s="6" t="s">
        <v>5</v>
      </c>
      <c r="G2" s="7" t="s">
        <v>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0" customHeight="1">
      <c r="A3" s="8"/>
      <c r="B3" s="8"/>
      <c r="C3" s="9"/>
      <c r="D3" s="8" t="s">
        <v>7</v>
      </c>
      <c r="E3" s="9"/>
      <c r="F3" s="9"/>
      <c r="G3" s="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/>
      <c r="B4" s="10"/>
      <c r="C4" s="11">
        <f t="shared" ref="C4:C19" si="1">A4+B4</f>
        <v>0</v>
      </c>
      <c r="D4" s="12"/>
      <c r="E4" s="13">
        <f t="shared" ref="E4:E19" si="2">C4*0.5</f>
        <v>0</v>
      </c>
      <c r="F4" s="13">
        <f t="shared" ref="F4:F19" si="3">C4-E4</f>
        <v>0</v>
      </c>
      <c r="G4" s="1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0"/>
      <c r="B5" s="10"/>
      <c r="C5" s="11">
        <f t="shared" si="1"/>
        <v>0</v>
      </c>
      <c r="D5" s="12"/>
      <c r="E5" s="13">
        <f t="shared" si="2"/>
        <v>0</v>
      </c>
      <c r="F5" s="13">
        <f t="shared" si="3"/>
        <v>0</v>
      </c>
      <c r="G5" s="1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0"/>
      <c r="B6" s="10"/>
      <c r="C6" s="11">
        <f t="shared" si="1"/>
        <v>0</v>
      </c>
      <c r="D6" s="12"/>
      <c r="E6" s="13">
        <f t="shared" si="2"/>
        <v>0</v>
      </c>
      <c r="F6" s="13">
        <f t="shared" si="3"/>
        <v>0</v>
      </c>
      <c r="G6" s="1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0"/>
      <c r="B7" s="10"/>
      <c r="C7" s="11">
        <f t="shared" si="1"/>
        <v>0</v>
      </c>
      <c r="D7" s="12"/>
      <c r="E7" s="13">
        <f t="shared" si="2"/>
        <v>0</v>
      </c>
      <c r="F7" s="13">
        <f t="shared" si="3"/>
        <v>0</v>
      </c>
      <c r="G7" s="14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0"/>
      <c r="B8" s="10"/>
      <c r="C8" s="11">
        <f t="shared" si="1"/>
        <v>0</v>
      </c>
      <c r="D8" s="12"/>
      <c r="E8" s="13">
        <f t="shared" si="2"/>
        <v>0</v>
      </c>
      <c r="F8" s="13">
        <f t="shared" si="3"/>
        <v>0</v>
      </c>
      <c r="G8" s="1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5"/>
      <c r="B9" s="15"/>
      <c r="C9" s="11">
        <f t="shared" si="1"/>
        <v>0</v>
      </c>
      <c r="D9" s="12"/>
      <c r="E9" s="13">
        <f t="shared" si="2"/>
        <v>0</v>
      </c>
      <c r="F9" s="13">
        <f t="shared" si="3"/>
        <v>0</v>
      </c>
      <c r="G9" s="14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5"/>
      <c r="B10" s="15"/>
      <c r="C10" s="11">
        <f t="shared" si="1"/>
        <v>0</v>
      </c>
      <c r="D10" s="12"/>
      <c r="E10" s="13">
        <f t="shared" si="2"/>
        <v>0</v>
      </c>
      <c r="F10" s="13">
        <f t="shared" si="3"/>
        <v>0</v>
      </c>
      <c r="G10" s="14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5"/>
      <c r="B11" s="15"/>
      <c r="C11" s="11">
        <f t="shared" si="1"/>
        <v>0</v>
      </c>
      <c r="D11" s="12"/>
      <c r="E11" s="13">
        <f t="shared" si="2"/>
        <v>0</v>
      </c>
      <c r="F11" s="13">
        <f t="shared" si="3"/>
        <v>0</v>
      </c>
      <c r="G11" s="14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5"/>
      <c r="B12" s="15"/>
      <c r="C12" s="11">
        <f t="shared" si="1"/>
        <v>0</v>
      </c>
      <c r="D12" s="12"/>
      <c r="E12" s="13">
        <f t="shared" si="2"/>
        <v>0</v>
      </c>
      <c r="F12" s="13">
        <f t="shared" si="3"/>
        <v>0</v>
      </c>
      <c r="G12" s="1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5"/>
      <c r="B13" s="15"/>
      <c r="C13" s="11">
        <f t="shared" si="1"/>
        <v>0</v>
      </c>
      <c r="D13" s="12"/>
      <c r="E13" s="13">
        <f t="shared" si="2"/>
        <v>0</v>
      </c>
      <c r="F13" s="13">
        <f t="shared" si="3"/>
        <v>0</v>
      </c>
      <c r="G13" s="14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5"/>
      <c r="B14" s="15"/>
      <c r="C14" s="11">
        <f t="shared" si="1"/>
        <v>0</v>
      </c>
      <c r="D14" s="12"/>
      <c r="E14" s="13">
        <f t="shared" si="2"/>
        <v>0</v>
      </c>
      <c r="F14" s="13">
        <f t="shared" si="3"/>
        <v>0</v>
      </c>
      <c r="G14" s="1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5"/>
      <c r="B15" s="15"/>
      <c r="C15" s="11">
        <f t="shared" si="1"/>
        <v>0</v>
      </c>
      <c r="D15" s="12"/>
      <c r="E15" s="13">
        <f t="shared" si="2"/>
        <v>0</v>
      </c>
      <c r="F15" s="13">
        <f t="shared" si="3"/>
        <v>0</v>
      </c>
      <c r="G15" s="14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5"/>
      <c r="B16" s="15"/>
      <c r="C16" s="11">
        <f t="shared" si="1"/>
        <v>0</v>
      </c>
      <c r="D16" s="12"/>
      <c r="E16" s="13">
        <f t="shared" si="2"/>
        <v>0</v>
      </c>
      <c r="F16" s="13">
        <f t="shared" si="3"/>
        <v>0</v>
      </c>
      <c r="G16" s="14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5"/>
      <c r="B17" s="15"/>
      <c r="C17" s="11">
        <f t="shared" si="1"/>
        <v>0</v>
      </c>
      <c r="D17" s="12"/>
      <c r="E17" s="13">
        <f t="shared" si="2"/>
        <v>0</v>
      </c>
      <c r="F17" s="13">
        <f t="shared" si="3"/>
        <v>0</v>
      </c>
      <c r="G17" s="14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5"/>
      <c r="B18" s="15"/>
      <c r="C18" s="11">
        <f t="shared" si="1"/>
        <v>0</v>
      </c>
      <c r="D18" s="12"/>
      <c r="E18" s="13">
        <f t="shared" si="2"/>
        <v>0</v>
      </c>
      <c r="F18" s="13">
        <f t="shared" si="3"/>
        <v>0</v>
      </c>
      <c r="G18" s="14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2"/>
      <c r="B19" s="12"/>
      <c r="C19" s="10">
        <f t="shared" si="1"/>
        <v>0</v>
      </c>
      <c r="D19" s="12"/>
      <c r="E19" s="13">
        <f t="shared" si="2"/>
        <v>0</v>
      </c>
      <c r="F19" s="13">
        <f t="shared" si="3"/>
        <v>0</v>
      </c>
      <c r="G19" s="16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1.0" customHeight="1">
      <c r="A20" s="8"/>
      <c r="B20" s="8"/>
      <c r="C20" s="9"/>
      <c r="D20" s="8" t="s">
        <v>8</v>
      </c>
      <c r="E20" s="17"/>
      <c r="F20" s="17"/>
      <c r="G20" s="1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0"/>
      <c r="B21" s="10"/>
      <c r="C21" s="10">
        <f t="shared" ref="C21:C32" si="4">A21+B21</f>
        <v>0</v>
      </c>
      <c r="D21" s="12"/>
      <c r="E21" s="13">
        <f t="shared" ref="E21:E32" si="5">C21*0.5</f>
        <v>0</v>
      </c>
      <c r="F21" s="13">
        <f t="shared" ref="F21:F32" si="6">C21-E21</f>
        <v>0</v>
      </c>
      <c r="G21" s="1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0"/>
      <c r="B22" s="10"/>
      <c r="C22" s="10">
        <f t="shared" si="4"/>
        <v>0</v>
      </c>
      <c r="D22" s="12"/>
      <c r="E22" s="13">
        <f t="shared" si="5"/>
        <v>0</v>
      </c>
      <c r="F22" s="13">
        <f t="shared" si="6"/>
        <v>0</v>
      </c>
      <c r="G22" s="1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0"/>
      <c r="B23" s="10"/>
      <c r="C23" s="10">
        <f t="shared" si="4"/>
        <v>0</v>
      </c>
      <c r="D23" s="12"/>
      <c r="E23" s="13">
        <f t="shared" si="5"/>
        <v>0</v>
      </c>
      <c r="F23" s="13">
        <f t="shared" si="6"/>
        <v>0</v>
      </c>
      <c r="G23" s="16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0"/>
      <c r="B24" s="10"/>
      <c r="C24" s="10">
        <f t="shared" si="4"/>
        <v>0</v>
      </c>
      <c r="D24" s="12"/>
      <c r="E24" s="13">
        <f t="shared" si="5"/>
        <v>0</v>
      </c>
      <c r="F24" s="13">
        <f t="shared" si="6"/>
        <v>0</v>
      </c>
      <c r="G24" s="1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0"/>
      <c r="B25" s="10"/>
      <c r="C25" s="10">
        <f t="shared" si="4"/>
        <v>0</v>
      </c>
      <c r="D25" s="12"/>
      <c r="E25" s="13">
        <f t="shared" si="5"/>
        <v>0</v>
      </c>
      <c r="F25" s="13">
        <f t="shared" si="6"/>
        <v>0</v>
      </c>
      <c r="G25" s="1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0"/>
      <c r="B26" s="10"/>
      <c r="C26" s="10">
        <f t="shared" si="4"/>
        <v>0</v>
      </c>
      <c r="D26" s="12"/>
      <c r="E26" s="13">
        <f t="shared" si="5"/>
        <v>0</v>
      </c>
      <c r="F26" s="13">
        <f t="shared" si="6"/>
        <v>0</v>
      </c>
      <c r="G26" s="16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0"/>
      <c r="B27" s="10"/>
      <c r="C27" s="10">
        <f t="shared" si="4"/>
        <v>0</v>
      </c>
      <c r="D27" s="12"/>
      <c r="E27" s="13">
        <f t="shared" si="5"/>
        <v>0</v>
      </c>
      <c r="F27" s="13">
        <f t="shared" si="6"/>
        <v>0</v>
      </c>
      <c r="G27" s="16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0"/>
      <c r="B28" s="10"/>
      <c r="C28" s="10">
        <f t="shared" si="4"/>
        <v>0</v>
      </c>
      <c r="D28" s="12"/>
      <c r="E28" s="13">
        <f t="shared" si="5"/>
        <v>0</v>
      </c>
      <c r="F28" s="13">
        <f t="shared" si="6"/>
        <v>0</v>
      </c>
      <c r="G28" s="1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0"/>
      <c r="B29" s="10"/>
      <c r="C29" s="10">
        <f t="shared" si="4"/>
        <v>0</v>
      </c>
      <c r="D29" s="12"/>
      <c r="E29" s="13">
        <f t="shared" si="5"/>
        <v>0</v>
      </c>
      <c r="F29" s="13">
        <f t="shared" si="6"/>
        <v>0</v>
      </c>
      <c r="G29" s="1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0"/>
      <c r="B30" s="10"/>
      <c r="C30" s="10">
        <f t="shared" si="4"/>
        <v>0</v>
      </c>
      <c r="D30" s="12"/>
      <c r="E30" s="13">
        <f t="shared" si="5"/>
        <v>0</v>
      </c>
      <c r="F30" s="13">
        <f t="shared" si="6"/>
        <v>0</v>
      </c>
      <c r="G30" s="1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0"/>
      <c r="B31" s="10"/>
      <c r="C31" s="10">
        <f t="shared" si="4"/>
        <v>0</v>
      </c>
      <c r="D31" s="12"/>
      <c r="E31" s="13">
        <f t="shared" si="5"/>
        <v>0</v>
      </c>
      <c r="F31" s="13">
        <f t="shared" si="6"/>
        <v>0</v>
      </c>
      <c r="G31" s="16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0"/>
      <c r="B32" s="10"/>
      <c r="C32" s="10">
        <f t="shared" si="4"/>
        <v>0</v>
      </c>
      <c r="D32" s="12"/>
      <c r="E32" s="13">
        <f t="shared" si="5"/>
        <v>0</v>
      </c>
      <c r="F32" s="13">
        <f t="shared" si="6"/>
        <v>0</v>
      </c>
      <c r="G32" s="1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1.0" customHeight="1">
      <c r="A33" s="8"/>
      <c r="B33" s="8"/>
      <c r="C33" s="9"/>
      <c r="D33" s="8" t="s">
        <v>9</v>
      </c>
      <c r="E33" s="17"/>
      <c r="F33" s="17"/>
      <c r="G33" s="1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0"/>
      <c r="B34" s="10"/>
      <c r="C34" s="10">
        <f t="shared" ref="C34:C39" si="7">A34+B34</f>
        <v>0</v>
      </c>
      <c r="D34" s="12"/>
      <c r="E34" s="13">
        <f t="shared" ref="E34:E39" si="8">C34*0.5</f>
        <v>0</v>
      </c>
      <c r="F34" s="13">
        <f t="shared" ref="F34:F39" si="9">C34-E34</f>
        <v>0</v>
      </c>
      <c r="G34" s="1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0"/>
      <c r="B35" s="10"/>
      <c r="C35" s="10">
        <f t="shared" si="7"/>
        <v>0</v>
      </c>
      <c r="D35" s="12"/>
      <c r="E35" s="13">
        <f t="shared" si="8"/>
        <v>0</v>
      </c>
      <c r="F35" s="13">
        <f t="shared" si="9"/>
        <v>0</v>
      </c>
      <c r="G35" s="16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0"/>
      <c r="B36" s="10"/>
      <c r="C36" s="10">
        <f t="shared" si="7"/>
        <v>0</v>
      </c>
      <c r="D36" s="12"/>
      <c r="E36" s="13">
        <f t="shared" si="8"/>
        <v>0</v>
      </c>
      <c r="F36" s="13">
        <f t="shared" si="9"/>
        <v>0</v>
      </c>
      <c r="G36" s="16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0"/>
      <c r="B37" s="10"/>
      <c r="C37" s="10">
        <f t="shared" si="7"/>
        <v>0</v>
      </c>
      <c r="D37" s="12"/>
      <c r="E37" s="13">
        <f t="shared" si="8"/>
        <v>0</v>
      </c>
      <c r="F37" s="13">
        <f t="shared" si="9"/>
        <v>0</v>
      </c>
      <c r="G37" s="16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0"/>
      <c r="B38" s="10"/>
      <c r="C38" s="10">
        <f t="shared" si="7"/>
        <v>0</v>
      </c>
      <c r="D38" s="12"/>
      <c r="E38" s="13">
        <f t="shared" si="8"/>
        <v>0</v>
      </c>
      <c r="F38" s="13">
        <f t="shared" si="9"/>
        <v>0</v>
      </c>
      <c r="G38" s="16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0"/>
      <c r="B39" s="10"/>
      <c r="C39" s="10">
        <f t="shared" si="7"/>
        <v>0</v>
      </c>
      <c r="D39" s="12"/>
      <c r="E39" s="13">
        <f t="shared" si="8"/>
        <v>0</v>
      </c>
      <c r="F39" s="13">
        <f t="shared" si="9"/>
        <v>0</v>
      </c>
      <c r="G39" s="16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1.0" customHeight="1">
      <c r="A40" s="8"/>
      <c r="B40" s="8"/>
      <c r="C40" s="9"/>
      <c r="D40" s="8" t="s">
        <v>10</v>
      </c>
      <c r="E40" s="17"/>
      <c r="F40" s="17"/>
      <c r="G40" s="1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0"/>
      <c r="B41" s="10"/>
      <c r="C41" s="10">
        <f t="shared" ref="C41:C51" si="10">A41+B41</f>
        <v>0</v>
      </c>
      <c r="D41" s="12"/>
      <c r="E41" s="13">
        <f t="shared" ref="E41:E51" si="11">C41*0.5</f>
        <v>0</v>
      </c>
      <c r="F41" s="13">
        <f t="shared" ref="F41:F51" si="12">C41-E41</f>
        <v>0</v>
      </c>
      <c r="G41" s="16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0"/>
      <c r="B42" s="10"/>
      <c r="C42" s="10">
        <f t="shared" si="10"/>
        <v>0</v>
      </c>
      <c r="D42" s="12"/>
      <c r="E42" s="13">
        <f t="shared" si="11"/>
        <v>0</v>
      </c>
      <c r="F42" s="13">
        <f t="shared" si="12"/>
        <v>0</v>
      </c>
      <c r="G42" s="16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0"/>
      <c r="B43" s="10"/>
      <c r="C43" s="10">
        <f t="shared" si="10"/>
        <v>0</v>
      </c>
      <c r="D43" s="12"/>
      <c r="E43" s="13">
        <f t="shared" si="11"/>
        <v>0</v>
      </c>
      <c r="F43" s="13">
        <f t="shared" si="12"/>
        <v>0</v>
      </c>
      <c r="G43" s="16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0"/>
      <c r="B44" s="10"/>
      <c r="C44" s="10">
        <f t="shared" si="10"/>
        <v>0</v>
      </c>
      <c r="D44" s="12"/>
      <c r="E44" s="13">
        <f t="shared" si="11"/>
        <v>0</v>
      </c>
      <c r="F44" s="13">
        <f t="shared" si="12"/>
        <v>0</v>
      </c>
      <c r="G44" s="16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0"/>
      <c r="B45" s="10"/>
      <c r="C45" s="10">
        <f t="shared" si="10"/>
        <v>0</v>
      </c>
      <c r="D45" s="12"/>
      <c r="E45" s="13">
        <f t="shared" si="11"/>
        <v>0</v>
      </c>
      <c r="F45" s="13">
        <f t="shared" si="12"/>
        <v>0</v>
      </c>
      <c r="G45" s="16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0"/>
      <c r="B46" s="10"/>
      <c r="C46" s="10">
        <f t="shared" si="10"/>
        <v>0</v>
      </c>
      <c r="D46" s="12"/>
      <c r="E46" s="13">
        <f t="shared" si="11"/>
        <v>0</v>
      </c>
      <c r="F46" s="13">
        <f t="shared" si="12"/>
        <v>0</v>
      </c>
      <c r="G46" s="16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0"/>
      <c r="B47" s="10"/>
      <c r="C47" s="10">
        <f t="shared" si="10"/>
        <v>0</v>
      </c>
      <c r="D47" s="12"/>
      <c r="E47" s="13">
        <f t="shared" si="11"/>
        <v>0</v>
      </c>
      <c r="F47" s="13">
        <f t="shared" si="12"/>
        <v>0</v>
      </c>
      <c r="G47" s="16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0"/>
      <c r="B48" s="10"/>
      <c r="C48" s="10">
        <f t="shared" si="10"/>
        <v>0</v>
      </c>
      <c r="D48" s="12"/>
      <c r="E48" s="13">
        <f t="shared" si="11"/>
        <v>0</v>
      </c>
      <c r="F48" s="13">
        <f t="shared" si="12"/>
        <v>0</v>
      </c>
      <c r="G48" s="16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0"/>
      <c r="B49" s="10"/>
      <c r="C49" s="10">
        <f t="shared" si="10"/>
        <v>0</v>
      </c>
      <c r="D49" s="12"/>
      <c r="E49" s="13">
        <f t="shared" si="11"/>
        <v>0</v>
      </c>
      <c r="F49" s="13">
        <f t="shared" si="12"/>
        <v>0</v>
      </c>
      <c r="G49" s="16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0"/>
      <c r="B50" s="10"/>
      <c r="C50" s="10">
        <f t="shared" si="10"/>
        <v>0</v>
      </c>
      <c r="D50" s="12"/>
      <c r="E50" s="13">
        <f t="shared" si="11"/>
        <v>0</v>
      </c>
      <c r="F50" s="13">
        <f t="shared" si="12"/>
        <v>0</v>
      </c>
      <c r="G50" s="16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0"/>
      <c r="B51" s="10"/>
      <c r="C51" s="10">
        <f t="shared" si="10"/>
        <v>0</v>
      </c>
      <c r="D51" s="12"/>
      <c r="E51" s="13">
        <f t="shared" si="11"/>
        <v>0</v>
      </c>
      <c r="F51" s="13">
        <f t="shared" si="12"/>
        <v>0</v>
      </c>
      <c r="G51" s="16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1.0" customHeight="1">
      <c r="A52" s="8"/>
      <c r="B52" s="8"/>
      <c r="C52" s="9"/>
      <c r="D52" s="8" t="s">
        <v>11</v>
      </c>
      <c r="E52" s="17"/>
      <c r="F52" s="17"/>
      <c r="G52" s="1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0"/>
      <c r="B53" s="10"/>
      <c r="C53" s="10">
        <f t="shared" ref="C53:C58" si="13">A53+B53</f>
        <v>0</v>
      </c>
      <c r="D53" s="12"/>
      <c r="E53" s="13">
        <f t="shared" ref="E53:E58" si="14">C53*0.5</f>
        <v>0</v>
      </c>
      <c r="F53" s="13">
        <f t="shared" ref="F53:F58" si="15">C53-E53</f>
        <v>0</v>
      </c>
      <c r="G53" s="16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0"/>
      <c r="B54" s="10"/>
      <c r="C54" s="10">
        <f t="shared" si="13"/>
        <v>0</v>
      </c>
      <c r="D54" s="12"/>
      <c r="E54" s="13">
        <f t="shared" si="14"/>
        <v>0</v>
      </c>
      <c r="F54" s="13">
        <f t="shared" si="15"/>
        <v>0</v>
      </c>
      <c r="G54" s="16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0"/>
      <c r="B55" s="10"/>
      <c r="C55" s="10">
        <f t="shared" si="13"/>
        <v>0</v>
      </c>
      <c r="D55" s="12"/>
      <c r="E55" s="13">
        <f t="shared" si="14"/>
        <v>0</v>
      </c>
      <c r="F55" s="13">
        <f t="shared" si="15"/>
        <v>0</v>
      </c>
      <c r="G55" s="16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0"/>
      <c r="B56" s="10"/>
      <c r="C56" s="10">
        <f t="shared" si="13"/>
        <v>0</v>
      </c>
      <c r="D56" s="12"/>
      <c r="E56" s="13">
        <f t="shared" si="14"/>
        <v>0</v>
      </c>
      <c r="F56" s="13">
        <f t="shared" si="15"/>
        <v>0</v>
      </c>
      <c r="G56" s="16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0"/>
      <c r="B57" s="10"/>
      <c r="C57" s="10">
        <f t="shared" si="13"/>
        <v>0</v>
      </c>
      <c r="D57" s="12"/>
      <c r="E57" s="13">
        <f t="shared" si="14"/>
        <v>0</v>
      </c>
      <c r="F57" s="13">
        <f t="shared" si="15"/>
        <v>0</v>
      </c>
      <c r="G57" s="16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0"/>
      <c r="B58" s="10"/>
      <c r="C58" s="10">
        <f t="shared" si="13"/>
        <v>0</v>
      </c>
      <c r="D58" s="12"/>
      <c r="E58" s="13">
        <f t="shared" si="14"/>
        <v>0</v>
      </c>
      <c r="F58" s="13">
        <f t="shared" si="15"/>
        <v>0</v>
      </c>
      <c r="G58" s="16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0" customHeight="1">
      <c r="A59" s="8"/>
      <c r="B59" s="8"/>
      <c r="C59" s="9"/>
      <c r="D59" s="8" t="s">
        <v>12</v>
      </c>
      <c r="E59" s="17"/>
      <c r="F59" s="17"/>
      <c r="G59" s="1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0"/>
      <c r="B60" s="10"/>
      <c r="C60" s="10">
        <f t="shared" ref="C60:C67" si="16">A60+B60</f>
        <v>0</v>
      </c>
      <c r="D60" s="12"/>
      <c r="E60" s="13">
        <f t="shared" ref="E60:E67" si="17">C60*0.5</f>
        <v>0</v>
      </c>
      <c r="F60" s="13">
        <f t="shared" ref="F60:F67" si="18">C60-E60</f>
        <v>0</v>
      </c>
      <c r="G60" s="16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0"/>
      <c r="B61" s="10"/>
      <c r="C61" s="10">
        <f t="shared" si="16"/>
        <v>0</v>
      </c>
      <c r="D61" s="12"/>
      <c r="E61" s="13">
        <f t="shared" si="17"/>
        <v>0</v>
      </c>
      <c r="F61" s="13">
        <f t="shared" si="18"/>
        <v>0</v>
      </c>
      <c r="G61" s="16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0"/>
      <c r="B62" s="10"/>
      <c r="C62" s="10">
        <f t="shared" si="16"/>
        <v>0</v>
      </c>
      <c r="D62" s="12"/>
      <c r="E62" s="13">
        <f t="shared" si="17"/>
        <v>0</v>
      </c>
      <c r="F62" s="13">
        <f t="shared" si="18"/>
        <v>0</v>
      </c>
      <c r="G62" s="16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0"/>
      <c r="B63" s="10"/>
      <c r="C63" s="10">
        <f t="shared" si="16"/>
        <v>0</v>
      </c>
      <c r="D63" s="12"/>
      <c r="E63" s="13">
        <f t="shared" si="17"/>
        <v>0</v>
      </c>
      <c r="F63" s="13">
        <f t="shared" si="18"/>
        <v>0</v>
      </c>
      <c r="G63" s="16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0"/>
      <c r="B64" s="10"/>
      <c r="C64" s="10">
        <f t="shared" si="16"/>
        <v>0</v>
      </c>
      <c r="D64" s="12"/>
      <c r="E64" s="13">
        <f t="shared" si="17"/>
        <v>0</v>
      </c>
      <c r="F64" s="13">
        <f t="shared" si="18"/>
        <v>0</v>
      </c>
      <c r="G64" s="16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0"/>
      <c r="B65" s="10"/>
      <c r="C65" s="10">
        <f t="shared" si="16"/>
        <v>0</v>
      </c>
      <c r="D65" s="12"/>
      <c r="E65" s="13">
        <f t="shared" si="17"/>
        <v>0</v>
      </c>
      <c r="F65" s="13">
        <f t="shared" si="18"/>
        <v>0</v>
      </c>
      <c r="G65" s="16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0"/>
      <c r="B66" s="10"/>
      <c r="C66" s="10">
        <f t="shared" si="16"/>
        <v>0</v>
      </c>
      <c r="D66" s="12"/>
      <c r="E66" s="13">
        <f t="shared" si="17"/>
        <v>0</v>
      </c>
      <c r="F66" s="13">
        <f t="shared" si="18"/>
        <v>0</v>
      </c>
      <c r="G66" s="16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0"/>
      <c r="B67" s="10"/>
      <c r="C67" s="10">
        <f t="shared" si="16"/>
        <v>0</v>
      </c>
      <c r="D67" s="12"/>
      <c r="E67" s="13">
        <f t="shared" si="17"/>
        <v>0</v>
      </c>
      <c r="F67" s="13">
        <f t="shared" si="18"/>
        <v>0</v>
      </c>
      <c r="G67" s="16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0" customHeight="1">
      <c r="A68" s="8"/>
      <c r="B68" s="8"/>
      <c r="C68" s="9"/>
      <c r="D68" s="8" t="s">
        <v>13</v>
      </c>
      <c r="E68" s="17"/>
      <c r="F68" s="17"/>
      <c r="G68" s="1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0"/>
      <c r="B69" s="10"/>
      <c r="C69" s="10">
        <f t="shared" ref="C69:C72" si="19">A69+B69</f>
        <v>0</v>
      </c>
      <c r="D69" s="12"/>
      <c r="E69" s="13">
        <f t="shared" ref="E69:E72" si="20">C69*0.5</f>
        <v>0</v>
      </c>
      <c r="F69" s="13">
        <f t="shared" ref="F69:F72" si="21">C69-E69</f>
        <v>0</v>
      </c>
      <c r="G69" s="16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0"/>
      <c r="B70" s="10"/>
      <c r="C70" s="10">
        <f t="shared" si="19"/>
        <v>0</v>
      </c>
      <c r="D70" s="12"/>
      <c r="E70" s="13">
        <f t="shared" si="20"/>
        <v>0</v>
      </c>
      <c r="F70" s="13">
        <f t="shared" si="21"/>
        <v>0</v>
      </c>
      <c r="G70" s="16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0"/>
      <c r="B71" s="10"/>
      <c r="C71" s="10">
        <f t="shared" si="19"/>
        <v>0</v>
      </c>
      <c r="D71" s="12"/>
      <c r="E71" s="13">
        <f t="shared" si="20"/>
        <v>0</v>
      </c>
      <c r="F71" s="13">
        <f t="shared" si="21"/>
        <v>0</v>
      </c>
      <c r="G71" s="16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0"/>
      <c r="B72" s="10"/>
      <c r="C72" s="10">
        <f t="shared" si="19"/>
        <v>0</v>
      </c>
      <c r="D72" s="12"/>
      <c r="E72" s="13">
        <f t="shared" si="20"/>
        <v>0</v>
      </c>
      <c r="F72" s="13">
        <f t="shared" si="21"/>
        <v>0</v>
      </c>
      <c r="G72" s="16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1.0" customHeight="1">
      <c r="A73" s="8"/>
      <c r="B73" s="8"/>
      <c r="C73" s="9"/>
      <c r="D73" s="8" t="s">
        <v>14</v>
      </c>
      <c r="E73" s="17"/>
      <c r="F73" s="17"/>
      <c r="G73" s="1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0"/>
      <c r="B74" s="10"/>
      <c r="C74" s="10">
        <f t="shared" ref="C74:C82" si="22">A74+B74</f>
        <v>0</v>
      </c>
      <c r="D74" s="12"/>
      <c r="E74" s="13">
        <f t="shared" ref="E74:E82" si="23">C74*0.5</f>
        <v>0</v>
      </c>
      <c r="F74" s="13">
        <f t="shared" ref="F74:F82" si="24">C74-E74</f>
        <v>0</v>
      </c>
      <c r="G74" s="16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0"/>
      <c r="B75" s="10"/>
      <c r="C75" s="10">
        <f t="shared" si="22"/>
        <v>0</v>
      </c>
      <c r="D75" s="12"/>
      <c r="E75" s="13">
        <f t="shared" si="23"/>
        <v>0</v>
      </c>
      <c r="F75" s="13">
        <f t="shared" si="24"/>
        <v>0</v>
      </c>
      <c r="G75" s="16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0"/>
      <c r="B76" s="10"/>
      <c r="C76" s="10">
        <f t="shared" si="22"/>
        <v>0</v>
      </c>
      <c r="D76" s="12"/>
      <c r="E76" s="13">
        <f t="shared" si="23"/>
        <v>0</v>
      </c>
      <c r="F76" s="13">
        <f t="shared" si="24"/>
        <v>0</v>
      </c>
      <c r="G76" s="16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0"/>
      <c r="B77" s="10"/>
      <c r="C77" s="10">
        <f t="shared" si="22"/>
        <v>0</v>
      </c>
      <c r="D77" s="12"/>
      <c r="E77" s="13">
        <f t="shared" si="23"/>
        <v>0</v>
      </c>
      <c r="F77" s="13">
        <f t="shared" si="24"/>
        <v>0</v>
      </c>
      <c r="G77" s="16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0"/>
      <c r="B78" s="10"/>
      <c r="C78" s="10">
        <f t="shared" si="22"/>
        <v>0</v>
      </c>
      <c r="D78" s="12"/>
      <c r="E78" s="13">
        <f t="shared" si="23"/>
        <v>0</v>
      </c>
      <c r="F78" s="13">
        <f t="shared" si="24"/>
        <v>0</v>
      </c>
      <c r="G78" s="16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0"/>
      <c r="B79" s="10"/>
      <c r="C79" s="10">
        <f t="shared" si="22"/>
        <v>0</v>
      </c>
      <c r="D79" s="12"/>
      <c r="E79" s="13">
        <f t="shared" si="23"/>
        <v>0</v>
      </c>
      <c r="F79" s="13">
        <f t="shared" si="24"/>
        <v>0</v>
      </c>
      <c r="G79" s="16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0"/>
      <c r="B80" s="10"/>
      <c r="C80" s="10">
        <f t="shared" si="22"/>
        <v>0</v>
      </c>
      <c r="D80" s="12"/>
      <c r="E80" s="13">
        <f t="shared" si="23"/>
        <v>0</v>
      </c>
      <c r="F80" s="13">
        <f t="shared" si="24"/>
        <v>0</v>
      </c>
      <c r="G80" s="16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0"/>
      <c r="B81" s="10"/>
      <c r="C81" s="10">
        <f t="shared" si="22"/>
        <v>0</v>
      </c>
      <c r="D81" s="12"/>
      <c r="E81" s="13">
        <f t="shared" si="23"/>
        <v>0</v>
      </c>
      <c r="F81" s="13">
        <f t="shared" si="24"/>
        <v>0</v>
      </c>
      <c r="G81" s="16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0"/>
      <c r="B82" s="10"/>
      <c r="C82" s="10">
        <f t="shared" si="22"/>
        <v>0</v>
      </c>
      <c r="D82" s="12"/>
      <c r="E82" s="13">
        <f t="shared" si="23"/>
        <v>0</v>
      </c>
      <c r="F82" s="13">
        <f t="shared" si="24"/>
        <v>0</v>
      </c>
      <c r="G82" s="16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1.0" customHeight="1">
      <c r="A83" s="8"/>
      <c r="B83" s="8"/>
      <c r="C83" s="9"/>
      <c r="D83" s="8" t="s">
        <v>15</v>
      </c>
      <c r="E83" s="17"/>
      <c r="F83" s="17"/>
      <c r="G83" s="1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0"/>
      <c r="B84" s="10"/>
      <c r="C84" s="10">
        <f t="shared" ref="C84:C98" si="25">A84+B84</f>
        <v>0</v>
      </c>
      <c r="D84" s="12"/>
      <c r="E84" s="13">
        <f t="shared" ref="E84:E98" si="26">C84*0.5</f>
        <v>0</v>
      </c>
      <c r="F84" s="13">
        <f t="shared" ref="F84:F98" si="27">C84-E84</f>
        <v>0</v>
      </c>
      <c r="G84" s="16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0"/>
      <c r="B85" s="10"/>
      <c r="C85" s="10">
        <f t="shared" si="25"/>
        <v>0</v>
      </c>
      <c r="D85" s="12"/>
      <c r="E85" s="13">
        <f t="shared" si="26"/>
        <v>0</v>
      </c>
      <c r="F85" s="13">
        <f t="shared" si="27"/>
        <v>0</v>
      </c>
      <c r="G85" s="16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0"/>
      <c r="B86" s="10"/>
      <c r="C86" s="10">
        <f t="shared" si="25"/>
        <v>0</v>
      </c>
      <c r="D86" s="12"/>
      <c r="E86" s="13">
        <f t="shared" si="26"/>
        <v>0</v>
      </c>
      <c r="F86" s="13">
        <f t="shared" si="27"/>
        <v>0</v>
      </c>
      <c r="G86" s="16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0"/>
      <c r="B87" s="10"/>
      <c r="C87" s="10">
        <f t="shared" si="25"/>
        <v>0</v>
      </c>
      <c r="D87" s="12"/>
      <c r="E87" s="13">
        <f t="shared" si="26"/>
        <v>0</v>
      </c>
      <c r="F87" s="13">
        <f t="shared" si="27"/>
        <v>0</v>
      </c>
      <c r="G87" s="16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0"/>
      <c r="B88" s="10"/>
      <c r="C88" s="10">
        <f t="shared" si="25"/>
        <v>0</v>
      </c>
      <c r="D88" s="12"/>
      <c r="E88" s="13">
        <f t="shared" si="26"/>
        <v>0</v>
      </c>
      <c r="F88" s="13">
        <f t="shared" si="27"/>
        <v>0</v>
      </c>
      <c r="G88" s="16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0"/>
      <c r="B89" s="10"/>
      <c r="C89" s="10">
        <f t="shared" si="25"/>
        <v>0</v>
      </c>
      <c r="D89" s="12"/>
      <c r="E89" s="13">
        <f t="shared" si="26"/>
        <v>0</v>
      </c>
      <c r="F89" s="13">
        <f t="shared" si="27"/>
        <v>0</v>
      </c>
      <c r="G89" s="16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0"/>
      <c r="B90" s="10"/>
      <c r="C90" s="10">
        <f t="shared" si="25"/>
        <v>0</v>
      </c>
      <c r="D90" s="12"/>
      <c r="E90" s="13">
        <f t="shared" si="26"/>
        <v>0</v>
      </c>
      <c r="F90" s="13">
        <f t="shared" si="27"/>
        <v>0</v>
      </c>
      <c r="G90" s="16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0"/>
      <c r="B91" s="10"/>
      <c r="C91" s="10">
        <f t="shared" si="25"/>
        <v>0</v>
      </c>
      <c r="D91" s="12"/>
      <c r="E91" s="13">
        <f t="shared" si="26"/>
        <v>0</v>
      </c>
      <c r="F91" s="13">
        <f t="shared" si="27"/>
        <v>0</v>
      </c>
      <c r="G91" s="16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0"/>
      <c r="B92" s="10"/>
      <c r="C92" s="10">
        <f t="shared" si="25"/>
        <v>0</v>
      </c>
      <c r="D92" s="12"/>
      <c r="E92" s="13">
        <f t="shared" si="26"/>
        <v>0</v>
      </c>
      <c r="F92" s="13">
        <f t="shared" si="27"/>
        <v>0</v>
      </c>
      <c r="G92" s="16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0"/>
      <c r="B93" s="10"/>
      <c r="C93" s="10">
        <f t="shared" si="25"/>
        <v>0</v>
      </c>
      <c r="D93" s="12"/>
      <c r="E93" s="13">
        <f t="shared" si="26"/>
        <v>0</v>
      </c>
      <c r="F93" s="13">
        <f t="shared" si="27"/>
        <v>0</v>
      </c>
      <c r="G93" s="16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0"/>
      <c r="B94" s="10"/>
      <c r="C94" s="10">
        <f t="shared" si="25"/>
        <v>0</v>
      </c>
      <c r="D94" s="12"/>
      <c r="E94" s="13">
        <f t="shared" si="26"/>
        <v>0</v>
      </c>
      <c r="F94" s="13">
        <f t="shared" si="27"/>
        <v>0</v>
      </c>
      <c r="G94" s="16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0"/>
      <c r="B95" s="10"/>
      <c r="C95" s="10">
        <f t="shared" si="25"/>
        <v>0</v>
      </c>
      <c r="D95" s="12"/>
      <c r="E95" s="13">
        <f t="shared" si="26"/>
        <v>0</v>
      </c>
      <c r="F95" s="13">
        <f t="shared" si="27"/>
        <v>0</v>
      </c>
      <c r="G95" s="16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0"/>
      <c r="B96" s="10"/>
      <c r="C96" s="10">
        <f t="shared" si="25"/>
        <v>0</v>
      </c>
      <c r="D96" s="12"/>
      <c r="E96" s="13">
        <f t="shared" si="26"/>
        <v>0</v>
      </c>
      <c r="F96" s="13">
        <f t="shared" si="27"/>
        <v>0</v>
      </c>
      <c r="G96" s="16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0"/>
      <c r="B97" s="10"/>
      <c r="C97" s="10">
        <f t="shared" si="25"/>
        <v>0</v>
      </c>
      <c r="D97" s="12"/>
      <c r="E97" s="13">
        <f t="shared" si="26"/>
        <v>0</v>
      </c>
      <c r="F97" s="13">
        <f t="shared" si="27"/>
        <v>0</v>
      </c>
      <c r="G97" s="16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0"/>
      <c r="B98" s="10"/>
      <c r="C98" s="10">
        <f t="shared" si="25"/>
        <v>0</v>
      </c>
      <c r="D98" s="12"/>
      <c r="E98" s="13">
        <f t="shared" si="26"/>
        <v>0</v>
      </c>
      <c r="F98" s="13">
        <f t="shared" si="27"/>
        <v>0</v>
      </c>
      <c r="G98" s="16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1.0" customHeight="1">
      <c r="A99" s="8"/>
      <c r="B99" s="8"/>
      <c r="C99" s="9"/>
      <c r="D99" s="8" t="s">
        <v>16</v>
      </c>
      <c r="E99" s="17"/>
      <c r="F99" s="17"/>
      <c r="G99" s="1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0"/>
      <c r="B100" s="10"/>
      <c r="C100" s="10">
        <f t="shared" ref="C100:C105" si="28">A100+B100</f>
        <v>0</v>
      </c>
      <c r="D100" s="12"/>
      <c r="E100" s="13">
        <f t="shared" ref="E100:E105" si="29">C100*0.5</f>
        <v>0</v>
      </c>
      <c r="F100" s="13">
        <f t="shared" ref="F100:F105" si="30">C100-E100</f>
        <v>0</v>
      </c>
      <c r="G100" s="16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0"/>
      <c r="B101" s="10"/>
      <c r="C101" s="10">
        <f t="shared" si="28"/>
        <v>0</v>
      </c>
      <c r="D101" s="12"/>
      <c r="E101" s="13">
        <f t="shared" si="29"/>
        <v>0</v>
      </c>
      <c r="F101" s="13">
        <f t="shared" si="30"/>
        <v>0</v>
      </c>
      <c r="G101" s="16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0"/>
      <c r="B102" s="10"/>
      <c r="C102" s="10">
        <f t="shared" si="28"/>
        <v>0</v>
      </c>
      <c r="D102" s="12"/>
      <c r="E102" s="13">
        <f t="shared" si="29"/>
        <v>0</v>
      </c>
      <c r="F102" s="13">
        <f t="shared" si="30"/>
        <v>0</v>
      </c>
      <c r="G102" s="16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0"/>
      <c r="B103" s="10"/>
      <c r="C103" s="10">
        <f t="shared" si="28"/>
        <v>0</v>
      </c>
      <c r="D103" s="12"/>
      <c r="E103" s="13">
        <f t="shared" si="29"/>
        <v>0</v>
      </c>
      <c r="F103" s="13">
        <f t="shared" si="30"/>
        <v>0</v>
      </c>
      <c r="G103" s="16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0"/>
      <c r="B104" s="10"/>
      <c r="C104" s="10">
        <f t="shared" si="28"/>
        <v>0</v>
      </c>
      <c r="D104" s="12"/>
      <c r="E104" s="13">
        <f t="shared" si="29"/>
        <v>0</v>
      </c>
      <c r="F104" s="13">
        <f t="shared" si="30"/>
        <v>0</v>
      </c>
      <c r="G104" s="16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0"/>
      <c r="B105" s="10"/>
      <c r="C105" s="10">
        <f t="shared" si="28"/>
        <v>0</v>
      </c>
      <c r="D105" s="12"/>
      <c r="E105" s="13">
        <f t="shared" si="29"/>
        <v>0</v>
      </c>
      <c r="F105" s="13">
        <f t="shared" si="30"/>
        <v>0</v>
      </c>
      <c r="G105" s="16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1.0" customHeight="1">
      <c r="A106" s="8"/>
      <c r="B106" s="8"/>
      <c r="C106" s="9"/>
      <c r="D106" s="8" t="s">
        <v>17</v>
      </c>
      <c r="E106" s="17"/>
      <c r="F106" s="17"/>
      <c r="G106" s="1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0"/>
      <c r="B107" s="10"/>
      <c r="C107" s="10">
        <f t="shared" ref="C107:C114" si="31">A107+B107</f>
        <v>0</v>
      </c>
      <c r="D107" s="12"/>
      <c r="E107" s="13">
        <f t="shared" ref="E107:E114" si="32">C107*0.5</f>
        <v>0</v>
      </c>
      <c r="F107" s="13">
        <f t="shared" ref="F107:F114" si="33">C107-E107</f>
        <v>0</v>
      </c>
      <c r="G107" s="16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0"/>
      <c r="B108" s="10"/>
      <c r="C108" s="10">
        <f t="shared" si="31"/>
        <v>0</v>
      </c>
      <c r="D108" s="12"/>
      <c r="E108" s="13">
        <f t="shared" si="32"/>
        <v>0</v>
      </c>
      <c r="F108" s="13">
        <f t="shared" si="33"/>
        <v>0</v>
      </c>
      <c r="G108" s="16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0"/>
      <c r="B109" s="10"/>
      <c r="C109" s="10">
        <f t="shared" si="31"/>
        <v>0</v>
      </c>
      <c r="D109" s="12"/>
      <c r="E109" s="13">
        <f t="shared" si="32"/>
        <v>0</v>
      </c>
      <c r="F109" s="13">
        <f t="shared" si="33"/>
        <v>0</v>
      </c>
      <c r="G109" s="16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0"/>
      <c r="B110" s="10"/>
      <c r="C110" s="10">
        <f t="shared" si="31"/>
        <v>0</v>
      </c>
      <c r="D110" s="12"/>
      <c r="E110" s="13">
        <f t="shared" si="32"/>
        <v>0</v>
      </c>
      <c r="F110" s="13">
        <f t="shared" si="33"/>
        <v>0</v>
      </c>
      <c r="G110" s="16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0"/>
      <c r="B111" s="10"/>
      <c r="C111" s="10">
        <f t="shared" si="31"/>
        <v>0</v>
      </c>
      <c r="D111" s="12"/>
      <c r="E111" s="13">
        <f t="shared" si="32"/>
        <v>0</v>
      </c>
      <c r="F111" s="13">
        <f t="shared" si="33"/>
        <v>0</v>
      </c>
      <c r="G111" s="16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0"/>
      <c r="B112" s="10"/>
      <c r="C112" s="10">
        <f t="shared" si="31"/>
        <v>0</v>
      </c>
      <c r="D112" s="12"/>
      <c r="E112" s="13">
        <f t="shared" si="32"/>
        <v>0</v>
      </c>
      <c r="F112" s="13">
        <f t="shared" si="33"/>
        <v>0</v>
      </c>
      <c r="G112" s="16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0"/>
      <c r="B113" s="10"/>
      <c r="C113" s="10">
        <f t="shared" si="31"/>
        <v>0</v>
      </c>
      <c r="D113" s="12"/>
      <c r="E113" s="13">
        <f t="shared" si="32"/>
        <v>0</v>
      </c>
      <c r="F113" s="13">
        <f t="shared" si="33"/>
        <v>0</v>
      </c>
      <c r="G113" s="16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0"/>
      <c r="B114" s="10"/>
      <c r="C114" s="10">
        <f t="shared" si="31"/>
        <v>0</v>
      </c>
      <c r="D114" s="12"/>
      <c r="E114" s="13">
        <f t="shared" si="32"/>
        <v>0</v>
      </c>
      <c r="F114" s="13">
        <f t="shared" si="33"/>
        <v>0</v>
      </c>
      <c r="G114" s="16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1.0" customHeight="1">
      <c r="A115" s="8"/>
      <c r="B115" s="8"/>
      <c r="C115" s="9"/>
      <c r="D115" s="8" t="s">
        <v>18</v>
      </c>
      <c r="E115" s="17"/>
      <c r="F115" s="17"/>
      <c r="G115" s="1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0"/>
      <c r="B116" s="10"/>
      <c r="C116" s="10">
        <f t="shared" ref="C116:C119" si="34">A116+B116</f>
        <v>0</v>
      </c>
      <c r="D116" s="12"/>
      <c r="E116" s="13">
        <f t="shared" ref="E116:E119" si="35">C116*0.5</f>
        <v>0</v>
      </c>
      <c r="F116" s="13">
        <f t="shared" ref="F116:F119" si="36">C116-E116</f>
        <v>0</v>
      </c>
      <c r="G116" s="16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0"/>
      <c r="B117" s="10"/>
      <c r="C117" s="10">
        <f t="shared" si="34"/>
        <v>0</v>
      </c>
      <c r="D117" s="12"/>
      <c r="E117" s="13">
        <f t="shared" si="35"/>
        <v>0</v>
      </c>
      <c r="F117" s="13">
        <f t="shared" si="36"/>
        <v>0</v>
      </c>
      <c r="G117" s="16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0"/>
      <c r="B118" s="10"/>
      <c r="C118" s="10">
        <f t="shared" si="34"/>
        <v>0</v>
      </c>
      <c r="D118" s="12"/>
      <c r="E118" s="13">
        <f t="shared" si="35"/>
        <v>0</v>
      </c>
      <c r="F118" s="13">
        <f t="shared" si="36"/>
        <v>0</v>
      </c>
      <c r="G118" s="16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0"/>
      <c r="B119" s="10"/>
      <c r="C119" s="10">
        <f t="shared" si="34"/>
        <v>0</v>
      </c>
      <c r="D119" s="12"/>
      <c r="E119" s="13">
        <f t="shared" si="35"/>
        <v>0</v>
      </c>
      <c r="F119" s="13">
        <f t="shared" si="36"/>
        <v>0</v>
      </c>
      <c r="G119" s="16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1.0" customHeight="1">
      <c r="A120" s="8"/>
      <c r="B120" s="8"/>
      <c r="C120" s="9"/>
      <c r="D120" s="8" t="s">
        <v>19</v>
      </c>
      <c r="E120" s="17"/>
      <c r="F120" s="17"/>
      <c r="G120" s="1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0"/>
      <c r="B121" s="10"/>
      <c r="C121" s="10">
        <f t="shared" ref="C121:C125" si="37">A121+B121</f>
        <v>0</v>
      </c>
      <c r="D121" s="12"/>
      <c r="E121" s="13">
        <f t="shared" ref="E121:E125" si="38">C121*0.5</f>
        <v>0</v>
      </c>
      <c r="F121" s="13">
        <f t="shared" ref="F121:F125" si="39">C121-E121</f>
        <v>0</v>
      </c>
      <c r="G121" s="16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0"/>
      <c r="B122" s="10"/>
      <c r="C122" s="10">
        <f t="shared" si="37"/>
        <v>0</v>
      </c>
      <c r="D122" s="12"/>
      <c r="E122" s="13">
        <f t="shared" si="38"/>
        <v>0</v>
      </c>
      <c r="F122" s="13">
        <f t="shared" si="39"/>
        <v>0</v>
      </c>
      <c r="G122" s="16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0"/>
      <c r="B123" s="10"/>
      <c r="C123" s="10">
        <f t="shared" si="37"/>
        <v>0</v>
      </c>
      <c r="D123" s="12"/>
      <c r="E123" s="13">
        <f t="shared" si="38"/>
        <v>0</v>
      </c>
      <c r="F123" s="13">
        <f t="shared" si="39"/>
        <v>0</v>
      </c>
      <c r="G123" s="16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0"/>
      <c r="B124" s="10"/>
      <c r="C124" s="10">
        <f t="shared" si="37"/>
        <v>0</v>
      </c>
      <c r="D124" s="12"/>
      <c r="E124" s="13">
        <f t="shared" si="38"/>
        <v>0</v>
      </c>
      <c r="F124" s="13">
        <f t="shared" si="39"/>
        <v>0</v>
      </c>
      <c r="G124" s="16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8"/>
      <c r="B125" s="18"/>
      <c r="C125" s="18">
        <f t="shared" si="37"/>
        <v>0</v>
      </c>
      <c r="D125" s="19"/>
      <c r="E125" s="20">
        <f t="shared" si="38"/>
        <v>0</v>
      </c>
      <c r="F125" s="20">
        <f t="shared" si="39"/>
        <v>0</v>
      </c>
      <c r="G125" s="2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36.0" customHeight="1">
      <c r="A126" s="22">
        <f t="shared" ref="A126:C126" si="40">SUM(A3:A125)</f>
        <v>0</v>
      </c>
      <c r="B126" s="23">
        <f t="shared" si="40"/>
        <v>0</v>
      </c>
      <c r="C126" s="23">
        <f t="shared" si="40"/>
        <v>0</v>
      </c>
      <c r="D126" s="24" t="s">
        <v>20</v>
      </c>
      <c r="E126" s="25">
        <f t="shared" ref="E126:F126" si="41">SUM(E3:E125)</f>
        <v>0</v>
      </c>
      <c r="F126" s="25">
        <f t="shared" si="41"/>
        <v>0</v>
      </c>
      <c r="G126" s="26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0" customHeight="1">
      <c r="A127" s="27"/>
      <c r="B127" s="28"/>
      <c r="C127" s="29"/>
      <c r="D127" s="28" t="s">
        <v>21</v>
      </c>
      <c r="E127" s="30">
        <f>E126-F126</f>
        <v>0</v>
      </c>
      <c r="F127" s="30"/>
      <c r="G127" s="3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9.5" customHeight="1">
      <c r="A128" s="27"/>
      <c r="B128" s="28"/>
      <c r="C128" s="29"/>
      <c r="D128" s="28" t="s">
        <v>22</v>
      </c>
      <c r="E128" s="30">
        <f>E127/2</f>
        <v>0</v>
      </c>
      <c r="F128" s="30"/>
      <c r="G128" s="3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32"/>
      <c r="B129" s="33"/>
      <c r="C129" s="34"/>
      <c r="D129" s="33" t="s">
        <v>23</v>
      </c>
      <c r="E129" s="35" t="str">
        <f t="shared" ref="E129:F129" si="42">E126/$C$126</f>
        <v>#DIV/0!</v>
      </c>
      <c r="F129" s="35" t="str">
        <f t="shared" si="42"/>
        <v>#DIV/0!</v>
      </c>
      <c r="G129" s="36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8.5" customHeight="1">
      <c r="A130" s="27"/>
      <c r="B130" s="28"/>
      <c r="C130" s="29"/>
      <c r="D130" s="37" t="s">
        <v>24</v>
      </c>
      <c r="E130" s="30"/>
      <c r="F130" s="30">
        <f>E130*-1</f>
        <v>0</v>
      </c>
      <c r="G130" s="3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32"/>
      <c r="B131" s="33"/>
      <c r="C131" s="39"/>
      <c r="D131" s="33" t="s">
        <v>25</v>
      </c>
      <c r="E131" s="40">
        <f t="shared" ref="E131:F131" si="43">E126+E130</f>
        <v>0</v>
      </c>
      <c r="F131" s="40">
        <f t="shared" si="43"/>
        <v>0</v>
      </c>
      <c r="G131" s="4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42"/>
      <c r="B132" s="43"/>
      <c r="C132" s="44"/>
      <c r="D132" s="43"/>
      <c r="E132" s="45">
        <f>IF(ISERROR(E131/C126),0,E131/C126)</f>
        <v>0</v>
      </c>
      <c r="F132" s="45">
        <f>IF(ISERROR(F131/C126),0,F131/C126)</f>
        <v>0</v>
      </c>
      <c r="G132" s="46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2.5" customHeight="1">
      <c r="A133" s="1"/>
      <c r="B133" s="1"/>
      <c r="C133" s="1"/>
      <c r="D133" s="1"/>
      <c r="E133" s="47"/>
      <c r="F133" s="47"/>
      <c r="G133" s="4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3.25" customHeight="1">
      <c r="A134" s="48"/>
      <c r="B134" s="49"/>
      <c r="C134" s="50"/>
      <c r="D134" s="49" t="s">
        <v>26</v>
      </c>
      <c r="E134" s="51" t="s">
        <v>6</v>
      </c>
      <c r="F134" s="52"/>
      <c r="G134" s="53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54"/>
      <c r="B135" s="10"/>
      <c r="C135" s="10">
        <f t="shared" ref="C135:C146" si="44">A135+B135</f>
        <v>0</v>
      </c>
      <c r="D135" s="12"/>
      <c r="E135" s="55"/>
      <c r="F135" s="56"/>
      <c r="G135" s="5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54"/>
      <c r="B136" s="10"/>
      <c r="C136" s="10">
        <f t="shared" si="44"/>
        <v>0</v>
      </c>
      <c r="D136" s="12"/>
      <c r="E136" s="55"/>
      <c r="F136" s="56"/>
      <c r="G136" s="5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54"/>
      <c r="B137" s="10"/>
      <c r="C137" s="10">
        <f t="shared" si="44"/>
        <v>0</v>
      </c>
      <c r="D137" s="12"/>
      <c r="E137" s="55"/>
      <c r="F137" s="56"/>
      <c r="G137" s="5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54"/>
      <c r="B138" s="10"/>
      <c r="C138" s="10">
        <f t="shared" si="44"/>
        <v>0</v>
      </c>
      <c r="D138" s="12"/>
      <c r="E138" s="55"/>
      <c r="F138" s="56"/>
      <c r="G138" s="5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54"/>
      <c r="B139" s="10"/>
      <c r="C139" s="10">
        <f t="shared" si="44"/>
        <v>0</v>
      </c>
      <c r="D139" s="12"/>
      <c r="E139" s="55"/>
      <c r="F139" s="56"/>
      <c r="G139" s="5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54"/>
      <c r="B140" s="10"/>
      <c r="C140" s="10">
        <f t="shared" si="44"/>
        <v>0</v>
      </c>
      <c r="D140" s="12"/>
      <c r="E140" s="55"/>
      <c r="F140" s="56"/>
      <c r="G140" s="5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54"/>
      <c r="B141" s="10"/>
      <c r="C141" s="10">
        <f t="shared" si="44"/>
        <v>0</v>
      </c>
      <c r="D141" s="12"/>
      <c r="E141" s="55"/>
      <c r="F141" s="56"/>
      <c r="G141" s="5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54"/>
      <c r="B142" s="10"/>
      <c r="C142" s="10">
        <f t="shared" si="44"/>
        <v>0</v>
      </c>
      <c r="D142" s="12"/>
      <c r="E142" s="55"/>
      <c r="F142" s="56"/>
      <c r="G142" s="5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54"/>
      <c r="B143" s="10"/>
      <c r="C143" s="10">
        <f t="shared" si="44"/>
        <v>0</v>
      </c>
      <c r="D143" s="12"/>
      <c r="E143" s="55"/>
      <c r="F143" s="56"/>
      <c r="G143" s="5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54"/>
      <c r="B144" s="10"/>
      <c r="C144" s="10">
        <f t="shared" si="44"/>
        <v>0</v>
      </c>
      <c r="D144" s="12"/>
      <c r="E144" s="55"/>
      <c r="F144" s="56"/>
      <c r="G144" s="5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54"/>
      <c r="B145" s="10"/>
      <c r="C145" s="10">
        <f t="shared" si="44"/>
        <v>0</v>
      </c>
      <c r="D145" s="12"/>
      <c r="E145" s="55"/>
      <c r="F145" s="56"/>
      <c r="G145" s="5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54"/>
      <c r="B146" s="10"/>
      <c r="C146" s="10">
        <f t="shared" si="44"/>
        <v>0</v>
      </c>
      <c r="D146" s="12"/>
      <c r="E146" s="55"/>
      <c r="F146" s="56"/>
      <c r="G146" s="5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1.75" customHeight="1">
      <c r="A147" s="42"/>
      <c r="B147" s="43"/>
      <c r="C147" s="58">
        <f>SUM(C135:C146)</f>
        <v>0</v>
      </c>
      <c r="D147" s="43" t="s">
        <v>25</v>
      </c>
      <c r="E147" s="59"/>
      <c r="F147" s="60"/>
      <c r="G147" s="6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47"/>
      <c r="F148" s="47"/>
      <c r="G148" s="4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47"/>
      <c r="F149" s="47"/>
      <c r="G149" s="4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3.25" customHeight="1">
      <c r="A150" s="62"/>
      <c r="B150" s="49"/>
      <c r="C150" s="50"/>
      <c r="D150" s="49" t="s">
        <v>27</v>
      </c>
      <c r="E150" s="51" t="s">
        <v>6</v>
      </c>
      <c r="F150" s="52"/>
      <c r="G150" s="53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54"/>
      <c r="B151" s="10"/>
      <c r="C151" s="10">
        <f t="shared" ref="C151:C162" si="45">A151+B151</f>
        <v>0</v>
      </c>
      <c r="D151" s="12"/>
      <c r="E151" s="55"/>
      <c r="F151" s="56"/>
      <c r="G151" s="5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54"/>
      <c r="B152" s="10"/>
      <c r="C152" s="10">
        <f t="shared" si="45"/>
        <v>0</v>
      </c>
      <c r="D152" s="12"/>
      <c r="E152" s="55"/>
      <c r="F152" s="56"/>
      <c r="G152" s="5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54"/>
      <c r="B153" s="10"/>
      <c r="C153" s="10">
        <f t="shared" si="45"/>
        <v>0</v>
      </c>
      <c r="D153" s="12"/>
      <c r="E153" s="55"/>
      <c r="F153" s="56"/>
      <c r="G153" s="5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54"/>
      <c r="B154" s="10"/>
      <c r="C154" s="10">
        <f t="shared" si="45"/>
        <v>0</v>
      </c>
      <c r="D154" s="12"/>
      <c r="E154" s="55"/>
      <c r="F154" s="56"/>
      <c r="G154" s="5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54"/>
      <c r="B155" s="10"/>
      <c r="C155" s="10">
        <f t="shared" si="45"/>
        <v>0</v>
      </c>
      <c r="D155" s="12"/>
      <c r="E155" s="55"/>
      <c r="F155" s="56"/>
      <c r="G155" s="5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54"/>
      <c r="B156" s="10"/>
      <c r="C156" s="10">
        <f t="shared" si="45"/>
        <v>0</v>
      </c>
      <c r="D156" s="12"/>
      <c r="E156" s="55"/>
      <c r="F156" s="56"/>
      <c r="G156" s="5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54"/>
      <c r="B157" s="10"/>
      <c r="C157" s="10">
        <f t="shared" si="45"/>
        <v>0</v>
      </c>
      <c r="D157" s="12"/>
      <c r="E157" s="55"/>
      <c r="F157" s="56"/>
      <c r="G157" s="5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54"/>
      <c r="B158" s="10"/>
      <c r="C158" s="10">
        <f t="shared" si="45"/>
        <v>0</v>
      </c>
      <c r="D158" s="12"/>
      <c r="E158" s="55"/>
      <c r="F158" s="56"/>
      <c r="G158" s="5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54"/>
      <c r="B159" s="10"/>
      <c r="C159" s="10">
        <f t="shared" si="45"/>
        <v>0</v>
      </c>
      <c r="D159" s="12"/>
      <c r="E159" s="55"/>
      <c r="F159" s="56"/>
      <c r="G159" s="5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54"/>
      <c r="B160" s="10"/>
      <c r="C160" s="10">
        <f t="shared" si="45"/>
        <v>0</v>
      </c>
      <c r="D160" s="12"/>
      <c r="E160" s="55"/>
      <c r="F160" s="56"/>
      <c r="G160" s="5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54"/>
      <c r="B161" s="10"/>
      <c r="C161" s="10">
        <f t="shared" si="45"/>
        <v>0</v>
      </c>
      <c r="D161" s="12"/>
      <c r="E161" s="55"/>
      <c r="F161" s="56"/>
      <c r="G161" s="5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54"/>
      <c r="B162" s="10"/>
      <c r="C162" s="10">
        <f t="shared" si="45"/>
        <v>0</v>
      </c>
      <c r="D162" s="12"/>
      <c r="E162" s="55"/>
      <c r="F162" s="56"/>
      <c r="G162" s="5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1.75" customHeight="1">
      <c r="A163" s="42"/>
      <c r="B163" s="43"/>
      <c r="C163" s="58">
        <f>SUM(C151:C162)</f>
        <v>0</v>
      </c>
      <c r="D163" s="43" t="s">
        <v>25</v>
      </c>
      <c r="E163" s="59"/>
      <c r="F163" s="60"/>
      <c r="G163" s="6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47"/>
      <c r="F164" s="47"/>
      <c r="G164" s="4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47"/>
      <c r="F165" s="47"/>
      <c r="G165" s="4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47"/>
      <c r="F166" s="47"/>
      <c r="G166" s="4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3.25" customHeight="1">
      <c r="A167" s="62"/>
      <c r="B167" s="49"/>
      <c r="C167" s="50"/>
      <c r="D167" s="49" t="s">
        <v>28</v>
      </c>
      <c r="E167" s="51" t="s">
        <v>6</v>
      </c>
      <c r="F167" s="52"/>
      <c r="G167" s="53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54"/>
      <c r="B168" s="10"/>
      <c r="C168" s="10">
        <f t="shared" ref="C168:C179" si="46">A168+B168</f>
        <v>0</v>
      </c>
      <c r="D168" s="12"/>
      <c r="E168" s="55"/>
      <c r="F168" s="56"/>
      <c r="G168" s="5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54"/>
      <c r="B169" s="10"/>
      <c r="C169" s="10">
        <f t="shared" si="46"/>
        <v>0</v>
      </c>
      <c r="D169" s="12"/>
      <c r="E169" s="55"/>
      <c r="F169" s="56"/>
      <c r="G169" s="5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54"/>
      <c r="B170" s="10"/>
      <c r="C170" s="10">
        <f t="shared" si="46"/>
        <v>0</v>
      </c>
      <c r="D170" s="12"/>
      <c r="E170" s="55"/>
      <c r="F170" s="56"/>
      <c r="G170" s="5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54"/>
      <c r="B171" s="10"/>
      <c r="C171" s="10">
        <f t="shared" si="46"/>
        <v>0</v>
      </c>
      <c r="D171" s="12"/>
      <c r="E171" s="55"/>
      <c r="F171" s="56"/>
      <c r="G171" s="5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54"/>
      <c r="B172" s="10"/>
      <c r="C172" s="10">
        <f t="shared" si="46"/>
        <v>0</v>
      </c>
      <c r="D172" s="12"/>
      <c r="E172" s="55"/>
      <c r="F172" s="56"/>
      <c r="G172" s="5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54"/>
      <c r="B173" s="10"/>
      <c r="C173" s="10">
        <f t="shared" si="46"/>
        <v>0</v>
      </c>
      <c r="D173" s="12"/>
      <c r="E173" s="55"/>
      <c r="F173" s="56"/>
      <c r="G173" s="5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54"/>
      <c r="B174" s="10"/>
      <c r="C174" s="10">
        <f t="shared" si="46"/>
        <v>0</v>
      </c>
      <c r="D174" s="12"/>
      <c r="E174" s="55"/>
      <c r="F174" s="56"/>
      <c r="G174" s="5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54"/>
      <c r="B175" s="10"/>
      <c r="C175" s="10">
        <f t="shared" si="46"/>
        <v>0</v>
      </c>
      <c r="D175" s="12"/>
      <c r="E175" s="55"/>
      <c r="F175" s="56"/>
      <c r="G175" s="5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54"/>
      <c r="B176" s="10"/>
      <c r="C176" s="10">
        <f t="shared" si="46"/>
        <v>0</v>
      </c>
      <c r="D176" s="12"/>
      <c r="E176" s="55"/>
      <c r="F176" s="56"/>
      <c r="G176" s="5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54"/>
      <c r="B177" s="10"/>
      <c r="C177" s="10">
        <f t="shared" si="46"/>
        <v>0</v>
      </c>
      <c r="D177" s="12"/>
      <c r="E177" s="55"/>
      <c r="F177" s="56"/>
      <c r="G177" s="5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54"/>
      <c r="B178" s="10"/>
      <c r="C178" s="10">
        <f t="shared" si="46"/>
        <v>0</v>
      </c>
      <c r="D178" s="12"/>
      <c r="E178" s="55"/>
      <c r="F178" s="56"/>
      <c r="G178" s="5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54"/>
      <c r="B179" s="10"/>
      <c r="C179" s="10">
        <f t="shared" si="46"/>
        <v>0</v>
      </c>
      <c r="D179" s="12"/>
      <c r="E179" s="55"/>
      <c r="F179" s="56"/>
      <c r="G179" s="5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1.75" customHeight="1">
      <c r="A180" s="42"/>
      <c r="B180" s="43"/>
      <c r="C180" s="58">
        <f>SUM(C168:C179)</f>
        <v>0</v>
      </c>
      <c r="D180" s="43" t="s">
        <v>25</v>
      </c>
      <c r="E180" s="59"/>
      <c r="F180" s="60"/>
      <c r="G180" s="6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47"/>
      <c r="F181" s="47"/>
      <c r="G181" s="4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47"/>
      <c r="F182" s="47"/>
      <c r="G182" s="4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47"/>
      <c r="F183" s="47"/>
      <c r="G183" s="4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47"/>
      <c r="F184" s="47"/>
      <c r="G184" s="4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47"/>
      <c r="F185" s="47"/>
      <c r="G185" s="4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47"/>
      <c r="F186" s="47"/>
      <c r="G186" s="4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47"/>
      <c r="F187" s="47"/>
      <c r="G187" s="4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47"/>
      <c r="F188" s="47"/>
      <c r="G188" s="4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47"/>
      <c r="F189" s="47"/>
      <c r="G189" s="4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47"/>
      <c r="F190" s="47"/>
      <c r="G190" s="4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47"/>
      <c r="F191" s="47"/>
      <c r="G191" s="4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47"/>
      <c r="F192" s="47"/>
      <c r="G192" s="4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47"/>
      <c r="F193" s="47"/>
      <c r="G193" s="4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47"/>
      <c r="F194" s="47"/>
      <c r="G194" s="4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47"/>
      <c r="F195" s="47"/>
      <c r="G195" s="4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47"/>
      <c r="F196" s="47"/>
      <c r="G196" s="4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47"/>
      <c r="F197" s="47"/>
      <c r="G197" s="4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47"/>
      <c r="F198" s="47"/>
      <c r="G198" s="4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47"/>
      <c r="F199" s="47"/>
      <c r="G199" s="4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47"/>
      <c r="F200" s="47"/>
      <c r="G200" s="4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47"/>
      <c r="F201" s="47"/>
      <c r="G201" s="4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47"/>
      <c r="F202" s="47"/>
      <c r="G202" s="4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47"/>
      <c r="F203" s="47"/>
      <c r="G203" s="4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47"/>
      <c r="F204" s="47"/>
      <c r="G204" s="4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47"/>
      <c r="F205" s="47"/>
      <c r="G205" s="4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47"/>
      <c r="F206" s="47"/>
      <c r="G206" s="4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47"/>
      <c r="F207" s="47"/>
      <c r="G207" s="4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47"/>
      <c r="F208" s="47"/>
      <c r="G208" s="4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47"/>
      <c r="F209" s="47"/>
      <c r="G209" s="4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47"/>
      <c r="F210" s="47"/>
      <c r="G210" s="4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47"/>
      <c r="F211" s="47"/>
      <c r="G211" s="4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47"/>
      <c r="F212" s="47"/>
      <c r="G212" s="4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47"/>
      <c r="F213" s="47"/>
      <c r="G213" s="4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47"/>
      <c r="F214" s="47"/>
      <c r="G214" s="4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47"/>
      <c r="F215" s="47"/>
      <c r="G215" s="4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47"/>
      <c r="F216" s="47"/>
      <c r="G216" s="4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47"/>
      <c r="F217" s="47"/>
      <c r="G217" s="4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47"/>
      <c r="F218" s="47"/>
      <c r="G218" s="4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47"/>
      <c r="F219" s="47"/>
      <c r="G219" s="4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47"/>
      <c r="F220" s="47"/>
      <c r="G220" s="4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47"/>
      <c r="F221" s="47"/>
      <c r="G221" s="4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47"/>
      <c r="F222" s="47"/>
      <c r="G222" s="4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47"/>
      <c r="F223" s="47"/>
      <c r="G223" s="4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47"/>
      <c r="F224" s="47"/>
      <c r="G224" s="4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47"/>
      <c r="F225" s="47"/>
      <c r="G225" s="4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47"/>
      <c r="F226" s="47"/>
      <c r="G226" s="4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47"/>
      <c r="F227" s="47"/>
      <c r="G227" s="4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47"/>
      <c r="F228" s="47"/>
      <c r="G228" s="4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47"/>
      <c r="F229" s="47"/>
      <c r="G229" s="4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47"/>
      <c r="F230" s="47"/>
      <c r="G230" s="4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47"/>
      <c r="F231" s="47"/>
      <c r="G231" s="4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47"/>
      <c r="F232" s="47"/>
      <c r="G232" s="4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47"/>
      <c r="F233" s="47"/>
      <c r="G233" s="4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47"/>
      <c r="F234" s="47"/>
      <c r="G234" s="4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47"/>
      <c r="F235" s="47"/>
      <c r="G235" s="4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47"/>
      <c r="F236" s="47"/>
      <c r="G236" s="4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47"/>
      <c r="F237" s="47"/>
      <c r="G237" s="4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47"/>
      <c r="F238" s="47"/>
      <c r="G238" s="4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47"/>
      <c r="F239" s="47"/>
      <c r="G239" s="4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47"/>
      <c r="F240" s="47"/>
      <c r="G240" s="4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47"/>
      <c r="F241" s="47"/>
      <c r="G241" s="4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47"/>
      <c r="F242" s="47"/>
      <c r="G242" s="4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47"/>
      <c r="F243" s="47"/>
      <c r="G243" s="4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47"/>
      <c r="F244" s="47"/>
      <c r="G244" s="4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47"/>
      <c r="F245" s="47"/>
      <c r="G245" s="4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47"/>
      <c r="F246" s="47"/>
      <c r="G246" s="4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47"/>
      <c r="F247" s="47"/>
      <c r="G247" s="4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47"/>
      <c r="F248" s="47"/>
      <c r="G248" s="4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47"/>
      <c r="F249" s="47"/>
      <c r="G249" s="4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47"/>
      <c r="F250" s="47"/>
      <c r="G250" s="4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47"/>
      <c r="F251" s="47"/>
      <c r="G251" s="4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47"/>
      <c r="F252" s="47"/>
      <c r="G252" s="4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47"/>
      <c r="F253" s="47"/>
      <c r="G253" s="4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47"/>
      <c r="F254" s="47"/>
      <c r="G254" s="4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47"/>
      <c r="F255" s="47"/>
      <c r="G255" s="4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47"/>
      <c r="F256" s="47"/>
      <c r="G256" s="4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47"/>
      <c r="F257" s="47"/>
      <c r="G257" s="4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47"/>
      <c r="F258" s="47"/>
      <c r="G258" s="4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47"/>
      <c r="F259" s="47"/>
      <c r="G259" s="4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47"/>
      <c r="F260" s="47"/>
      <c r="G260" s="4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47"/>
      <c r="F261" s="47"/>
      <c r="G261" s="4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47"/>
      <c r="F262" s="47"/>
      <c r="G262" s="4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47"/>
      <c r="F263" s="47"/>
      <c r="G263" s="4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47"/>
      <c r="F264" s="47"/>
      <c r="G264" s="4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47"/>
      <c r="F265" s="47"/>
      <c r="G265" s="4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47"/>
      <c r="F266" s="47"/>
      <c r="G266" s="4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47"/>
      <c r="F267" s="47"/>
      <c r="G267" s="4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47"/>
      <c r="F268" s="47"/>
      <c r="G268" s="4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47"/>
      <c r="F269" s="47"/>
      <c r="G269" s="4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47"/>
      <c r="F270" s="47"/>
      <c r="G270" s="4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47"/>
      <c r="F271" s="47"/>
      <c r="G271" s="4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47"/>
      <c r="F272" s="47"/>
      <c r="G272" s="4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47"/>
      <c r="F273" s="47"/>
      <c r="G273" s="4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47"/>
      <c r="F274" s="47"/>
      <c r="G274" s="4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47"/>
      <c r="F275" s="47"/>
      <c r="G275" s="4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47"/>
      <c r="F276" s="47"/>
      <c r="G276" s="4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47"/>
      <c r="F277" s="47"/>
      <c r="G277" s="4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47"/>
      <c r="F278" s="47"/>
      <c r="G278" s="4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47"/>
      <c r="F279" s="47"/>
      <c r="G279" s="4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47"/>
      <c r="F280" s="47"/>
      <c r="G280" s="4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47"/>
      <c r="F281" s="47"/>
      <c r="G281" s="4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47"/>
      <c r="F282" s="47"/>
      <c r="G282" s="4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47"/>
      <c r="F283" s="47"/>
      <c r="G283" s="4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47"/>
      <c r="F284" s="47"/>
      <c r="G284" s="4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47"/>
      <c r="F285" s="47"/>
      <c r="G285" s="4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47"/>
      <c r="F286" s="47"/>
      <c r="G286" s="4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47"/>
      <c r="F287" s="47"/>
      <c r="G287" s="4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47"/>
      <c r="F288" s="47"/>
      <c r="G288" s="4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47"/>
      <c r="F289" s="47"/>
      <c r="G289" s="4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47"/>
      <c r="F290" s="47"/>
      <c r="G290" s="4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47"/>
      <c r="F291" s="47"/>
      <c r="G291" s="4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47"/>
      <c r="F292" s="47"/>
      <c r="G292" s="4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47"/>
      <c r="F293" s="47"/>
      <c r="G293" s="4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47"/>
      <c r="F294" s="47"/>
      <c r="G294" s="4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47"/>
      <c r="F295" s="47"/>
      <c r="G295" s="4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47"/>
      <c r="F296" s="47"/>
      <c r="G296" s="4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47"/>
      <c r="F297" s="47"/>
      <c r="G297" s="4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47"/>
      <c r="F298" s="47"/>
      <c r="G298" s="4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47"/>
      <c r="F299" s="47"/>
      <c r="G299" s="4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47"/>
      <c r="F300" s="47"/>
      <c r="G300" s="4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47"/>
      <c r="F301" s="47"/>
      <c r="G301" s="4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47"/>
      <c r="F302" s="47"/>
      <c r="G302" s="4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47"/>
      <c r="F303" s="47"/>
      <c r="G303" s="4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47"/>
      <c r="F304" s="47"/>
      <c r="G304" s="4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47"/>
      <c r="F305" s="47"/>
      <c r="G305" s="4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47"/>
      <c r="F306" s="47"/>
      <c r="G306" s="4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47"/>
      <c r="F307" s="47"/>
      <c r="G307" s="4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47"/>
      <c r="F308" s="47"/>
      <c r="G308" s="4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47"/>
      <c r="F309" s="47"/>
      <c r="G309" s="4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47"/>
      <c r="F310" s="47"/>
      <c r="G310" s="4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47"/>
      <c r="F311" s="47"/>
      <c r="G311" s="4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47"/>
      <c r="F312" s="47"/>
      <c r="G312" s="4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47"/>
      <c r="F313" s="47"/>
      <c r="G313" s="4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47"/>
      <c r="F314" s="47"/>
      <c r="G314" s="4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47"/>
      <c r="F315" s="47"/>
      <c r="G315" s="4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47"/>
      <c r="F316" s="47"/>
      <c r="G316" s="4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47"/>
      <c r="F317" s="47"/>
      <c r="G317" s="4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47"/>
      <c r="F318" s="47"/>
      <c r="G318" s="4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47"/>
      <c r="F319" s="47"/>
      <c r="G319" s="4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47"/>
      <c r="F320" s="47"/>
      <c r="G320" s="4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47"/>
      <c r="F321" s="47"/>
      <c r="G321" s="4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47"/>
      <c r="F322" s="47"/>
      <c r="G322" s="4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47"/>
      <c r="F323" s="47"/>
      <c r="G323" s="4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47"/>
      <c r="F324" s="47"/>
      <c r="G324" s="4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47"/>
      <c r="F325" s="47"/>
      <c r="G325" s="4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47"/>
      <c r="F326" s="47"/>
      <c r="G326" s="4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47"/>
      <c r="F327" s="47"/>
      <c r="G327" s="4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47"/>
      <c r="F328" s="47"/>
      <c r="G328" s="4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47"/>
      <c r="F329" s="47"/>
      <c r="G329" s="4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47"/>
      <c r="F330" s="47"/>
      <c r="G330" s="4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47"/>
      <c r="F331" s="47"/>
      <c r="G331" s="4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47"/>
      <c r="F332" s="47"/>
      <c r="G332" s="4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47"/>
      <c r="F333" s="47"/>
      <c r="G333" s="4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47"/>
      <c r="F334" s="47"/>
      <c r="G334" s="4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47"/>
      <c r="F335" s="47"/>
      <c r="G335" s="4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47"/>
      <c r="F336" s="47"/>
      <c r="G336" s="4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47"/>
      <c r="F337" s="47"/>
      <c r="G337" s="4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47"/>
      <c r="F338" s="47"/>
      <c r="G338" s="4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47"/>
      <c r="F339" s="47"/>
      <c r="G339" s="4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47"/>
      <c r="F340" s="47"/>
      <c r="G340" s="4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47"/>
      <c r="F341" s="47"/>
      <c r="G341" s="4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47"/>
      <c r="F342" s="47"/>
      <c r="G342" s="4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47"/>
      <c r="F343" s="47"/>
      <c r="G343" s="4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47"/>
      <c r="F344" s="47"/>
      <c r="G344" s="4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47"/>
      <c r="F345" s="47"/>
      <c r="G345" s="4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47"/>
      <c r="F346" s="47"/>
      <c r="G346" s="4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47"/>
      <c r="F347" s="47"/>
      <c r="G347" s="4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47"/>
      <c r="F348" s="47"/>
      <c r="G348" s="4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47"/>
      <c r="F349" s="47"/>
      <c r="G349" s="4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47"/>
      <c r="F350" s="47"/>
      <c r="G350" s="4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47"/>
      <c r="F351" s="47"/>
      <c r="G351" s="4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47"/>
      <c r="F352" s="47"/>
      <c r="G352" s="4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47"/>
      <c r="F353" s="47"/>
      <c r="G353" s="4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47"/>
      <c r="F354" s="47"/>
      <c r="G354" s="4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47"/>
      <c r="F355" s="47"/>
      <c r="G355" s="4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47"/>
      <c r="F356" s="47"/>
      <c r="G356" s="4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47"/>
      <c r="F357" s="47"/>
      <c r="G357" s="4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47"/>
      <c r="F358" s="47"/>
      <c r="G358" s="4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47"/>
      <c r="F359" s="47"/>
      <c r="G359" s="4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47"/>
      <c r="F360" s="47"/>
      <c r="G360" s="4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47"/>
      <c r="F361" s="47"/>
      <c r="G361" s="4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47"/>
      <c r="F362" s="47"/>
      <c r="G362" s="4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47"/>
      <c r="F363" s="47"/>
      <c r="G363" s="4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47"/>
      <c r="F364" s="47"/>
      <c r="G364" s="4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47"/>
      <c r="F365" s="47"/>
      <c r="G365" s="4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47"/>
      <c r="F366" s="47"/>
      <c r="G366" s="4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47"/>
      <c r="F367" s="47"/>
      <c r="G367" s="4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47"/>
      <c r="F368" s="47"/>
      <c r="G368" s="4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47"/>
      <c r="F369" s="47"/>
      <c r="G369" s="4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47"/>
      <c r="F370" s="47"/>
      <c r="G370" s="4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47"/>
      <c r="F371" s="47"/>
      <c r="G371" s="4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47"/>
      <c r="F372" s="47"/>
      <c r="G372" s="4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47"/>
      <c r="F373" s="47"/>
      <c r="G373" s="4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47"/>
      <c r="F374" s="47"/>
      <c r="G374" s="4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47"/>
      <c r="F375" s="47"/>
      <c r="G375" s="4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47"/>
      <c r="F376" s="47"/>
      <c r="G376" s="4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47"/>
      <c r="F377" s="47"/>
      <c r="G377" s="4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47"/>
      <c r="F378" s="47"/>
      <c r="G378" s="4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47"/>
      <c r="F379" s="47"/>
      <c r="G379" s="4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47"/>
      <c r="F380" s="47"/>
      <c r="G380" s="4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47"/>
      <c r="F381" s="47"/>
      <c r="G381" s="4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47"/>
      <c r="F382" s="47"/>
      <c r="G382" s="4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47"/>
      <c r="F383" s="47"/>
      <c r="G383" s="4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47"/>
      <c r="F384" s="47"/>
      <c r="G384" s="4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47"/>
      <c r="F385" s="47"/>
      <c r="G385" s="4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47"/>
      <c r="F386" s="47"/>
      <c r="G386" s="4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47"/>
      <c r="F387" s="47"/>
      <c r="G387" s="4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47"/>
      <c r="F388" s="47"/>
      <c r="G388" s="4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47"/>
      <c r="F389" s="47"/>
      <c r="G389" s="4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47"/>
      <c r="F390" s="47"/>
      <c r="G390" s="4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47"/>
      <c r="F391" s="47"/>
      <c r="G391" s="4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47"/>
      <c r="F392" s="47"/>
      <c r="G392" s="4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47"/>
      <c r="F393" s="47"/>
      <c r="G393" s="4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47"/>
      <c r="F394" s="47"/>
      <c r="G394" s="4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47"/>
      <c r="F395" s="47"/>
      <c r="G395" s="4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47"/>
      <c r="F396" s="47"/>
      <c r="G396" s="4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47"/>
      <c r="F397" s="47"/>
      <c r="G397" s="4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47"/>
      <c r="F398" s="47"/>
      <c r="G398" s="4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47"/>
      <c r="F399" s="47"/>
      <c r="G399" s="4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47"/>
      <c r="F400" s="47"/>
      <c r="G400" s="4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47"/>
      <c r="F401" s="47"/>
      <c r="G401" s="4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47"/>
      <c r="F402" s="47"/>
      <c r="G402" s="4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47"/>
      <c r="F403" s="47"/>
      <c r="G403" s="4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47"/>
      <c r="F404" s="47"/>
      <c r="G404" s="4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47"/>
      <c r="F405" s="47"/>
      <c r="G405" s="4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47"/>
      <c r="F406" s="47"/>
      <c r="G406" s="4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47"/>
      <c r="F407" s="47"/>
      <c r="G407" s="4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47"/>
      <c r="F408" s="47"/>
      <c r="G408" s="4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47"/>
      <c r="F409" s="47"/>
      <c r="G409" s="4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47"/>
      <c r="F410" s="47"/>
      <c r="G410" s="4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47"/>
      <c r="F411" s="47"/>
      <c r="G411" s="4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47"/>
      <c r="F412" s="47"/>
      <c r="G412" s="4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47"/>
      <c r="F413" s="47"/>
      <c r="G413" s="4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47"/>
      <c r="F414" s="47"/>
      <c r="G414" s="4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47"/>
      <c r="F415" s="47"/>
      <c r="G415" s="4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47"/>
      <c r="F416" s="47"/>
      <c r="G416" s="4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47"/>
      <c r="F417" s="47"/>
      <c r="G417" s="4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47"/>
      <c r="F418" s="47"/>
      <c r="G418" s="4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47"/>
      <c r="F419" s="47"/>
      <c r="G419" s="4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47"/>
      <c r="F420" s="47"/>
      <c r="G420" s="4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47"/>
      <c r="F421" s="47"/>
      <c r="G421" s="4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47"/>
      <c r="F422" s="47"/>
      <c r="G422" s="4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47"/>
      <c r="F423" s="47"/>
      <c r="G423" s="4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47"/>
      <c r="F424" s="47"/>
      <c r="G424" s="4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47"/>
      <c r="F425" s="47"/>
      <c r="G425" s="4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47"/>
      <c r="F426" s="47"/>
      <c r="G426" s="4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47"/>
      <c r="F427" s="47"/>
      <c r="G427" s="4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47"/>
      <c r="F428" s="47"/>
      <c r="G428" s="4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47"/>
      <c r="F429" s="47"/>
      <c r="G429" s="4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47"/>
      <c r="F430" s="47"/>
      <c r="G430" s="4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47"/>
      <c r="F431" s="47"/>
      <c r="G431" s="4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47"/>
      <c r="F432" s="47"/>
      <c r="G432" s="4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47"/>
      <c r="F433" s="47"/>
      <c r="G433" s="4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47"/>
      <c r="F434" s="47"/>
      <c r="G434" s="4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47"/>
      <c r="F435" s="47"/>
      <c r="G435" s="4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47"/>
      <c r="F436" s="47"/>
      <c r="G436" s="4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47"/>
      <c r="F437" s="47"/>
      <c r="G437" s="4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47"/>
      <c r="F438" s="47"/>
      <c r="G438" s="4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47"/>
      <c r="F439" s="47"/>
      <c r="G439" s="4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47"/>
      <c r="F440" s="47"/>
      <c r="G440" s="4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47"/>
      <c r="F441" s="47"/>
      <c r="G441" s="4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47"/>
      <c r="F442" s="47"/>
      <c r="G442" s="4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47"/>
      <c r="F443" s="47"/>
      <c r="G443" s="4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47"/>
      <c r="F444" s="47"/>
      <c r="G444" s="4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47"/>
      <c r="F445" s="47"/>
      <c r="G445" s="4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47"/>
      <c r="F446" s="47"/>
      <c r="G446" s="4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47"/>
      <c r="F447" s="47"/>
      <c r="G447" s="4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47"/>
      <c r="F448" s="47"/>
      <c r="G448" s="4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47"/>
      <c r="F449" s="47"/>
      <c r="G449" s="4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47"/>
      <c r="F450" s="47"/>
      <c r="G450" s="4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47"/>
      <c r="F451" s="47"/>
      <c r="G451" s="4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47"/>
      <c r="F452" s="47"/>
      <c r="G452" s="4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47"/>
      <c r="F453" s="47"/>
      <c r="G453" s="4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47"/>
      <c r="F454" s="47"/>
      <c r="G454" s="4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47"/>
      <c r="F455" s="47"/>
      <c r="G455" s="4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47"/>
      <c r="F456" s="47"/>
      <c r="G456" s="4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47"/>
      <c r="F457" s="47"/>
      <c r="G457" s="4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47"/>
      <c r="F458" s="47"/>
      <c r="G458" s="4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47"/>
      <c r="F459" s="47"/>
      <c r="G459" s="4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47"/>
      <c r="F460" s="47"/>
      <c r="G460" s="4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47"/>
      <c r="F461" s="47"/>
      <c r="G461" s="4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47"/>
      <c r="F462" s="47"/>
      <c r="G462" s="4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47"/>
      <c r="F463" s="47"/>
      <c r="G463" s="4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47"/>
      <c r="F464" s="47"/>
      <c r="G464" s="4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47"/>
      <c r="F465" s="47"/>
      <c r="G465" s="4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47"/>
      <c r="F466" s="47"/>
      <c r="G466" s="4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47"/>
      <c r="F467" s="47"/>
      <c r="G467" s="4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47"/>
      <c r="F468" s="47"/>
      <c r="G468" s="4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47"/>
      <c r="F469" s="47"/>
      <c r="G469" s="4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47"/>
      <c r="F470" s="47"/>
      <c r="G470" s="4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47"/>
      <c r="F471" s="47"/>
      <c r="G471" s="4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47"/>
      <c r="F472" s="47"/>
      <c r="G472" s="4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47"/>
      <c r="F473" s="47"/>
      <c r="G473" s="4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47"/>
      <c r="F474" s="47"/>
      <c r="G474" s="4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47"/>
      <c r="F475" s="47"/>
      <c r="G475" s="4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47"/>
      <c r="F476" s="47"/>
      <c r="G476" s="4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47"/>
      <c r="F477" s="47"/>
      <c r="G477" s="4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47"/>
      <c r="F478" s="47"/>
      <c r="G478" s="4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47"/>
      <c r="F479" s="47"/>
      <c r="G479" s="4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47"/>
      <c r="F480" s="47"/>
      <c r="G480" s="4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47"/>
      <c r="F481" s="47"/>
      <c r="G481" s="4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47"/>
      <c r="F482" s="47"/>
      <c r="G482" s="4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47"/>
      <c r="F483" s="47"/>
      <c r="G483" s="4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47"/>
      <c r="F484" s="47"/>
      <c r="G484" s="4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47"/>
      <c r="F485" s="47"/>
      <c r="G485" s="4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47"/>
      <c r="F486" s="47"/>
      <c r="G486" s="4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47"/>
      <c r="F487" s="47"/>
      <c r="G487" s="4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47"/>
      <c r="F488" s="47"/>
      <c r="G488" s="4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47"/>
      <c r="F489" s="47"/>
      <c r="G489" s="4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47"/>
      <c r="F490" s="47"/>
      <c r="G490" s="4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47"/>
      <c r="F491" s="47"/>
      <c r="G491" s="4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47"/>
      <c r="F492" s="47"/>
      <c r="G492" s="4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47"/>
      <c r="F493" s="47"/>
      <c r="G493" s="4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47"/>
      <c r="F494" s="47"/>
      <c r="G494" s="4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47"/>
      <c r="F495" s="47"/>
      <c r="G495" s="4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47"/>
      <c r="F496" s="47"/>
      <c r="G496" s="4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47"/>
      <c r="F497" s="47"/>
      <c r="G497" s="4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47"/>
      <c r="F498" s="47"/>
      <c r="G498" s="4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47"/>
      <c r="F499" s="47"/>
      <c r="G499" s="4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47"/>
      <c r="F500" s="47"/>
      <c r="G500" s="4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47"/>
      <c r="F501" s="47"/>
      <c r="G501" s="47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47"/>
      <c r="F502" s="47"/>
      <c r="G502" s="47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47"/>
      <c r="F503" s="47"/>
      <c r="G503" s="47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47"/>
      <c r="F504" s="47"/>
      <c r="G504" s="47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47"/>
      <c r="F505" s="47"/>
      <c r="G505" s="47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47"/>
      <c r="F506" s="47"/>
      <c r="G506" s="47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47"/>
      <c r="F507" s="47"/>
      <c r="G507" s="47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47"/>
      <c r="F508" s="47"/>
      <c r="G508" s="47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47"/>
      <c r="F509" s="47"/>
      <c r="G509" s="47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47"/>
      <c r="F510" s="47"/>
      <c r="G510" s="47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47"/>
      <c r="F511" s="47"/>
      <c r="G511" s="47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47"/>
      <c r="F512" s="47"/>
      <c r="G512" s="47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47"/>
      <c r="F513" s="47"/>
      <c r="G513" s="47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47"/>
      <c r="F514" s="47"/>
      <c r="G514" s="47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47"/>
      <c r="F515" s="47"/>
      <c r="G515" s="47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47"/>
      <c r="F516" s="47"/>
      <c r="G516" s="47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47"/>
      <c r="F517" s="47"/>
      <c r="G517" s="47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47"/>
      <c r="F518" s="47"/>
      <c r="G518" s="47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47"/>
      <c r="F519" s="47"/>
      <c r="G519" s="47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47"/>
      <c r="F520" s="47"/>
      <c r="G520" s="47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47"/>
      <c r="F521" s="47"/>
      <c r="G521" s="47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47"/>
      <c r="F522" s="47"/>
      <c r="G522" s="47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47"/>
      <c r="F523" s="47"/>
      <c r="G523" s="47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47"/>
      <c r="F524" s="47"/>
      <c r="G524" s="47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47"/>
      <c r="F525" s="47"/>
      <c r="G525" s="47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47"/>
      <c r="F526" s="47"/>
      <c r="G526" s="47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47"/>
      <c r="F527" s="47"/>
      <c r="G527" s="47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47"/>
      <c r="F528" s="47"/>
      <c r="G528" s="47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47"/>
      <c r="F529" s="47"/>
      <c r="G529" s="47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47"/>
      <c r="F530" s="47"/>
      <c r="G530" s="47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47"/>
      <c r="F531" s="47"/>
      <c r="G531" s="47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47"/>
      <c r="F532" s="47"/>
      <c r="G532" s="47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47"/>
      <c r="F533" s="47"/>
      <c r="G533" s="47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47"/>
      <c r="F534" s="47"/>
      <c r="G534" s="47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47"/>
      <c r="F535" s="47"/>
      <c r="G535" s="47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47"/>
      <c r="F536" s="47"/>
      <c r="G536" s="47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47"/>
      <c r="F537" s="47"/>
      <c r="G537" s="47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47"/>
      <c r="F538" s="47"/>
      <c r="G538" s="47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47"/>
      <c r="F539" s="47"/>
      <c r="G539" s="47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47"/>
      <c r="F540" s="47"/>
      <c r="G540" s="47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47"/>
      <c r="F541" s="47"/>
      <c r="G541" s="47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47"/>
      <c r="F542" s="47"/>
      <c r="G542" s="47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47"/>
      <c r="F543" s="47"/>
      <c r="G543" s="47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47"/>
      <c r="F544" s="47"/>
      <c r="G544" s="47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47"/>
      <c r="F545" s="47"/>
      <c r="G545" s="47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47"/>
      <c r="F546" s="47"/>
      <c r="G546" s="47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47"/>
      <c r="F547" s="47"/>
      <c r="G547" s="47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47"/>
      <c r="F548" s="47"/>
      <c r="G548" s="47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47"/>
      <c r="F549" s="47"/>
      <c r="G549" s="47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47"/>
      <c r="F550" s="47"/>
      <c r="G550" s="47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47"/>
      <c r="F551" s="47"/>
      <c r="G551" s="47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47"/>
      <c r="F552" s="47"/>
      <c r="G552" s="47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47"/>
      <c r="F553" s="47"/>
      <c r="G553" s="47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47"/>
      <c r="F554" s="47"/>
      <c r="G554" s="47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47"/>
      <c r="F555" s="47"/>
      <c r="G555" s="47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47"/>
      <c r="F556" s="47"/>
      <c r="G556" s="47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47"/>
      <c r="F557" s="47"/>
      <c r="G557" s="47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47"/>
      <c r="F558" s="47"/>
      <c r="G558" s="47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47"/>
      <c r="F559" s="47"/>
      <c r="G559" s="47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47"/>
      <c r="F560" s="47"/>
      <c r="G560" s="47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47"/>
      <c r="F561" s="47"/>
      <c r="G561" s="47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47"/>
      <c r="F562" s="47"/>
      <c r="G562" s="47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47"/>
      <c r="F563" s="47"/>
      <c r="G563" s="47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47"/>
      <c r="F564" s="47"/>
      <c r="G564" s="47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47"/>
      <c r="F565" s="47"/>
      <c r="G565" s="47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47"/>
      <c r="F566" s="47"/>
      <c r="G566" s="47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47"/>
      <c r="F567" s="47"/>
      <c r="G567" s="47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47"/>
      <c r="F568" s="47"/>
      <c r="G568" s="47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47"/>
      <c r="F569" s="47"/>
      <c r="G569" s="47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47"/>
      <c r="F570" s="47"/>
      <c r="G570" s="47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47"/>
      <c r="F571" s="47"/>
      <c r="G571" s="47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47"/>
      <c r="F572" s="47"/>
      <c r="G572" s="47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47"/>
      <c r="F573" s="47"/>
      <c r="G573" s="47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47"/>
      <c r="F574" s="47"/>
      <c r="G574" s="47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47"/>
      <c r="F575" s="47"/>
      <c r="G575" s="47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47"/>
      <c r="F576" s="47"/>
      <c r="G576" s="47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47"/>
      <c r="F577" s="47"/>
      <c r="G577" s="47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47"/>
      <c r="F578" s="47"/>
      <c r="G578" s="47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47"/>
      <c r="F579" s="47"/>
      <c r="G579" s="47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47"/>
      <c r="F580" s="47"/>
      <c r="G580" s="47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47"/>
      <c r="F581" s="47"/>
      <c r="G581" s="47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47"/>
      <c r="F582" s="47"/>
      <c r="G582" s="47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47"/>
      <c r="F583" s="47"/>
      <c r="G583" s="47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47"/>
      <c r="F584" s="47"/>
      <c r="G584" s="47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47"/>
      <c r="F585" s="47"/>
      <c r="G585" s="47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47"/>
      <c r="F586" s="47"/>
      <c r="G586" s="47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47"/>
      <c r="F587" s="47"/>
      <c r="G587" s="47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47"/>
      <c r="F588" s="47"/>
      <c r="G588" s="47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47"/>
      <c r="F589" s="47"/>
      <c r="G589" s="47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47"/>
      <c r="F590" s="47"/>
      <c r="G590" s="47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47"/>
      <c r="F591" s="47"/>
      <c r="G591" s="47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47"/>
      <c r="F592" s="47"/>
      <c r="G592" s="47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47"/>
      <c r="F593" s="47"/>
      <c r="G593" s="47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47"/>
      <c r="F594" s="47"/>
      <c r="G594" s="47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47"/>
      <c r="F595" s="47"/>
      <c r="G595" s="47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47"/>
      <c r="F596" s="47"/>
      <c r="G596" s="47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47"/>
      <c r="F597" s="47"/>
      <c r="G597" s="47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47"/>
      <c r="F598" s="47"/>
      <c r="G598" s="47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47"/>
      <c r="F599" s="47"/>
      <c r="G599" s="47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47"/>
      <c r="F600" s="47"/>
      <c r="G600" s="47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47"/>
      <c r="F601" s="47"/>
      <c r="G601" s="47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47"/>
      <c r="F602" s="47"/>
      <c r="G602" s="47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47"/>
      <c r="F603" s="47"/>
      <c r="G603" s="47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47"/>
      <c r="F604" s="47"/>
      <c r="G604" s="47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47"/>
      <c r="F605" s="47"/>
      <c r="G605" s="47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47"/>
      <c r="F606" s="47"/>
      <c r="G606" s="47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47"/>
      <c r="F607" s="47"/>
      <c r="G607" s="47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47"/>
      <c r="F608" s="47"/>
      <c r="G608" s="47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47"/>
      <c r="F609" s="47"/>
      <c r="G609" s="47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47"/>
      <c r="F610" s="47"/>
      <c r="G610" s="47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47"/>
      <c r="F611" s="47"/>
      <c r="G611" s="47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47"/>
      <c r="F612" s="47"/>
      <c r="G612" s="47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47"/>
      <c r="F613" s="47"/>
      <c r="G613" s="47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47"/>
      <c r="F614" s="47"/>
      <c r="G614" s="47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47"/>
      <c r="F615" s="47"/>
      <c r="G615" s="47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47"/>
      <c r="F616" s="47"/>
      <c r="G616" s="47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47"/>
      <c r="F617" s="47"/>
      <c r="G617" s="47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47"/>
      <c r="F618" s="47"/>
      <c r="G618" s="47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47"/>
      <c r="F619" s="47"/>
      <c r="G619" s="47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47"/>
      <c r="F620" s="47"/>
      <c r="G620" s="47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47"/>
      <c r="F621" s="47"/>
      <c r="G621" s="47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47"/>
      <c r="F622" s="47"/>
      <c r="G622" s="47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47"/>
      <c r="F623" s="47"/>
      <c r="G623" s="47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47"/>
      <c r="F624" s="47"/>
      <c r="G624" s="47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47"/>
      <c r="F625" s="47"/>
      <c r="G625" s="47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47"/>
      <c r="F626" s="47"/>
      <c r="G626" s="47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47"/>
      <c r="F627" s="47"/>
      <c r="G627" s="47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47"/>
      <c r="F628" s="47"/>
      <c r="G628" s="47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47"/>
      <c r="F629" s="47"/>
      <c r="G629" s="47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47"/>
      <c r="F630" s="47"/>
      <c r="G630" s="47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47"/>
      <c r="F631" s="47"/>
      <c r="G631" s="47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47"/>
      <c r="F632" s="47"/>
      <c r="G632" s="47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47"/>
      <c r="F633" s="47"/>
      <c r="G633" s="47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47"/>
      <c r="F634" s="47"/>
      <c r="G634" s="47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47"/>
      <c r="F635" s="47"/>
      <c r="G635" s="47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47"/>
      <c r="F636" s="47"/>
      <c r="G636" s="47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47"/>
      <c r="F637" s="47"/>
      <c r="G637" s="47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47"/>
      <c r="F638" s="47"/>
      <c r="G638" s="47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47"/>
      <c r="F639" s="47"/>
      <c r="G639" s="47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47"/>
      <c r="F640" s="47"/>
      <c r="G640" s="47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47"/>
      <c r="F641" s="47"/>
      <c r="G641" s="47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47"/>
      <c r="F642" s="47"/>
      <c r="G642" s="47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47"/>
      <c r="F643" s="47"/>
      <c r="G643" s="47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47"/>
      <c r="F644" s="47"/>
      <c r="G644" s="47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47"/>
      <c r="F645" s="47"/>
      <c r="G645" s="47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47"/>
      <c r="F646" s="47"/>
      <c r="G646" s="47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47"/>
      <c r="F647" s="47"/>
      <c r="G647" s="47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47"/>
      <c r="F648" s="47"/>
      <c r="G648" s="47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47"/>
      <c r="F649" s="47"/>
      <c r="G649" s="47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47"/>
      <c r="F650" s="47"/>
      <c r="G650" s="47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47"/>
      <c r="F651" s="47"/>
      <c r="G651" s="47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47"/>
      <c r="F652" s="47"/>
      <c r="G652" s="47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47"/>
      <c r="F653" s="47"/>
      <c r="G653" s="47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47"/>
      <c r="F654" s="47"/>
      <c r="G654" s="47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47"/>
      <c r="F655" s="47"/>
      <c r="G655" s="47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47"/>
      <c r="F656" s="47"/>
      <c r="G656" s="47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47"/>
      <c r="F657" s="47"/>
      <c r="G657" s="47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47"/>
      <c r="F658" s="47"/>
      <c r="G658" s="47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47"/>
      <c r="F659" s="47"/>
      <c r="G659" s="47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47"/>
      <c r="F660" s="47"/>
      <c r="G660" s="47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47"/>
      <c r="F661" s="47"/>
      <c r="G661" s="47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47"/>
      <c r="F662" s="47"/>
      <c r="G662" s="47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47"/>
      <c r="F663" s="47"/>
      <c r="G663" s="47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47"/>
      <c r="F664" s="47"/>
      <c r="G664" s="47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47"/>
      <c r="F665" s="47"/>
      <c r="G665" s="47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47"/>
      <c r="F666" s="47"/>
      <c r="G666" s="47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47"/>
      <c r="F667" s="47"/>
      <c r="G667" s="47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47"/>
      <c r="F668" s="47"/>
      <c r="G668" s="47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47"/>
      <c r="F669" s="47"/>
      <c r="G669" s="47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47"/>
      <c r="F670" s="47"/>
      <c r="G670" s="47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47"/>
      <c r="F671" s="47"/>
      <c r="G671" s="47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47"/>
      <c r="F672" s="47"/>
      <c r="G672" s="47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47"/>
      <c r="F673" s="47"/>
      <c r="G673" s="47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47"/>
      <c r="F674" s="47"/>
      <c r="G674" s="47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47"/>
      <c r="F675" s="47"/>
      <c r="G675" s="47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47"/>
      <c r="F676" s="47"/>
      <c r="G676" s="47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47"/>
      <c r="F677" s="47"/>
      <c r="G677" s="47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47"/>
      <c r="F678" s="47"/>
      <c r="G678" s="47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47"/>
      <c r="F679" s="47"/>
      <c r="G679" s="47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47"/>
      <c r="F680" s="47"/>
      <c r="G680" s="47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47"/>
      <c r="F681" s="47"/>
      <c r="G681" s="47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47"/>
      <c r="F682" s="47"/>
      <c r="G682" s="47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47"/>
      <c r="F683" s="47"/>
      <c r="G683" s="47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47"/>
      <c r="F684" s="47"/>
      <c r="G684" s="47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47"/>
      <c r="F685" s="47"/>
      <c r="G685" s="47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47"/>
      <c r="F686" s="47"/>
      <c r="G686" s="47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47"/>
      <c r="F687" s="47"/>
      <c r="G687" s="47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47"/>
      <c r="F688" s="47"/>
      <c r="G688" s="47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47"/>
      <c r="F689" s="47"/>
      <c r="G689" s="47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47"/>
      <c r="F690" s="47"/>
      <c r="G690" s="47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47"/>
      <c r="F691" s="47"/>
      <c r="G691" s="47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47"/>
      <c r="F692" s="47"/>
      <c r="G692" s="47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47"/>
      <c r="F693" s="47"/>
      <c r="G693" s="47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47"/>
      <c r="F694" s="47"/>
      <c r="G694" s="47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47"/>
      <c r="F695" s="47"/>
      <c r="G695" s="47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47"/>
      <c r="F696" s="47"/>
      <c r="G696" s="47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47"/>
      <c r="F697" s="47"/>
      <c r="G697" s="47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47"/>
      <c r="F698" s="47"/>
      <c r="G698" s="47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47"/>
      <c r="F699" s="47"/>
      <c r="G699" s="47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47"/>
      <c r="F700" s="47"/>
      <c r="G700" s="47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47"/>
      <c r="F701" s="47"/>
      <c r="G701" s="47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47"/>
      <c r="F702" s="47"/>
      <c r="G702" s="47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47"/>
      <c r="F703" s="47"/>
      <c r="G703" s="47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47"/>
      <c r="F704" s="47"/>
      <c r="G704" s="47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47"/>
      <c r="F705" s="47"/>
      <c r="G705" s="47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47"/>
      <c r="F706" s="47"/>
      <c r="G706" s="47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47"/>
      <c r="F707" s="47"/>
      <c r="G707" s="47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47"/>
      <c r="F708" s="47"/>
      <c r="G708" s="47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47"/>
      <c r="F709" s="47"/>
      <c r="G709" s="47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47"/>
      <c r="F710" s="47"/>
      <c r="G710" s="47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47"/>
      <c r="F711" s="47"/>
      <c r="G711" s="47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47"/>
      <c r="F712" s="47"/>
      <c r="G712" s="47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47"/>
      <c r="F713" s="47"/>
      <c r="G713" s="47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47"/>
      <c r="F714" s="47"/>
      <c r="G714" s="47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47"/>
      <c r="F715" s="47"/>
      <c r="G715" s="47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47"/>
      <c r="F716" s="47"/>
      <c r="G716" s="47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47"/>
      <c r="F717" s="47"/>
      <c r="G717" s="47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47"/>
      <c r="F718" s="47"/>
      <c r="G718" s="47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47"/>
      <c r="F719" s="47"/>
      <c r="G719" s="47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47"/>
      <c r="F720" s="47"/>
      <c r="G720" s="47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47"/>
      <c r="F721" s="47"/>
      <c r="G721" s="47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47"/>
      <c r="F722" s="47"/>
      <c r="G722" s="47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47"/>
      <c r="F723" s="47"/>
      <c r="G723" s="47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47"/>
      <c r="F724" s="47"/>
      <c r="G724" s="47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47"/>
      <c r="F725" s="47"/>
      <c r="G725" s="47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47"/>
      <c r="F726" s="47"/>
      <c r="G726" s="47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47"/>
      <c r="F727" s="47"/>
      <c r="G727" s="47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47"/>
      <c r="F728" s="47"/>
      <c r="G728" s="47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47"/>
      <c r="F729" s="47"/>
      <c r="G729" s="47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47"/>
      <c r="F730" s="47"/>
      <c r="G730" s="47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47"/>
      <c r="F731" s="47"/>
      <c r="G731" s="47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47"/>
      <c r="F732" s="47"/>
      <c r="G732" s="47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47"/>
      <c r="F733" s="47"/>
      <c r="G733" s="47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47"/>
      <c r="F734" s="47"/>
      <c r="G734" s="47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47"/>
      <c r="F735" s="47"/>
      <c r="G735" s="47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47"/>
      <c r="F736" s="47"/>
      <c r="G736" s="47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47"/>
      <c r="F737" s="47"/>
      <c r="G737" s="47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47"/>
      <c r="F738" s="47"/>
      <c r="G738" s="47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47"/>
      <c r="F739" s="47"/>
      <c r="G739" s="47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47"/>
      <c r="F740" s="47"/>
      <c r="G740" s="47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47"/>
      <c r="F741" s="47"/>
      <c r="G741" s="47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47"/>
      <c r="F742" s="47"/>
      <c r="G742" s="47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47"/>
      <c r="F743" s="47"/>
      <c r="G743" s="47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47"/>
      <c r="F744" s="47"/>
      <c r="G744" s="47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47"/>
      <c r="F745" s="47"/>
      <c r="G745" s="47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47"/>
      <c r="F746" s="47"/>
      <c r="G746" s="47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47"/>
      <c r="F747" s="47"/>
      <c r="G747" s="47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47"/>
      <c r="F748" s="47"/>
      <c r="G748" s="47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47"/>
      <c r="F749" s="47"/>
      <c r="G749" s="47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47"/>
      <c r="F750" s="47"/>
      <c r="G750" s="47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47"/>
      <c r="F751" s="47"/>
      <c r="G751" s="47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47"/>
      <c r="F752" s="47"/>
      <c r="G752" s="47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47"/>
      <c r="F753" s="47"/>
      <c r="G753" s="47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47"/>
      <c r="F754" s="47"/>
      <c r="G754" s="47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47"/>
      <c r="F755" s="47"/>
      <c r="G755" s="47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47"/>
      <c r="F756" s="47"/>
      <c r="G756" s="47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47"/>
      <c r="F757" s="47"/>
      <c r="G757" s="47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47"/>
      <c r="F758" s="47"/>
      <c r="G758" s="47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47"/>
      <c r="F759" s="47"/>
      <c r="G759" s="47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47"/>
      <c r="F760" s="47"/>
      <c r="G760" s="47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47"/>
      <c r="F761" s="47"/>
      <c r="G761" s="47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47"/>
      <c r="F762" s="47"/>
      <c r="G762" s="47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47"/>
      <c r="F763" s="47"/>
      <c r="G763" s="47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47"/>
      <c r="F764" s="47"/>
      <c r="G764" s="47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47"/>
      <c r="F765" s="47"/>
      <c r="G765" s="47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47"/>
      <c r="F766" s="47"/>
      <c r="G766" s="47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47"/>
      <c r="F767" s="47"/>
      <c r="G767" s="47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47"/>
      <c r="F768" s="47"/>
      <c r="G768" s="47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47"/>
      <c r="F769" s="47"/>
      <c r="G769" s="47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47"/>
      <c r="F770" s="47"/>
      <c r="G770" s="47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47"/>
      <c r="F771" s="47"/>
      <c r="G771" s="47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47"/>
      <c r="F772" s="47"/>
      <c r="G772" s="47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47"/>
      <c r="F773" s="47"/>
      <c r="G773" s="47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47"/>
      <c r="F774" s="47"/>
      <c r="G774" s="47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47"/>
      <c r="F775" s="47"/>
      <c r="G775" s="47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47"/>
      <c r="F776" s="47"/>
      <c r="G776" s="47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47"/>
      <c r="F777" s="47"/>
      <c r="G777" s="47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47"/>
      <c r="F778" s="47"/>
      <c r="G778" s="47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47"/>
      <c r="F779" s="47"/>
      <c r="G779" s="47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47"/>
      <c r="F780" s="47"/>
      <c r="G780" s="47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47"/>
      <c r="F781" s="47"/>
      <c r="G781" s="47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47"/>
      <c r="F782" s="47"/>
      <c r="G782" s="47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47"/>
      <c r="F783" s="47"/>
      <c r="G783" s="47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47"/>
      <c r="F784" s="47"/>
      <c r="G784" s="47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47"/>
      <c r="F785" s="47"/>
      <c r="G785" s="47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47"/>
      <c r="F786" s="47"/>
      <c r="G786" s="47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47"/>
      <c r="F787" s="47"/>
      <c r="G787" s="47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47"/>
      <c r="F788" s="47"/>
      <c r="G788" s="47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47"/>
      <c r="F789" s="47"/>
      <c r="G789" s="47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47"/>
      <c r="F790" s="47"/>
      <c r="G790" s="47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47"/>
      <c r="F791" s="47"/>
      <c r="G791" s="47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47"/>
      <c r="F792" s="47"/>
      <c r="G792" s="47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47"/>
      <c r="F793" s="47"/>
      <c r="G793" s="47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47"/>
      <c r="F794" s="47"/>
      <c r="G794" s="47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47"/>
      <c r="F795" s="47"/>
      <c r="G795" s="47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47"/>
      <c r="F796" s="47"/>
      <c r="G796" s="47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47"/>
      <c r="F797" s="47"/>
      <c r="G797" s="47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47"/>
      <c r="F798" s="47"/>
      <c r="G798" s="47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47"/>
      <c r="F799" s="47"/>
      <c r="G799" s="47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47"/>
      <c r="F800" s="47"/>
      <c r="G800" s="47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47"/>
      <c r="F801" s="47"/>
      <c r="G801" s="47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47"/>
      <c r="F802" s="47"/>
      <c r="G802" s="47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47"/>
      <c r="F803" s="47"/>
      <c r="G803" s="47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47"/>
      <c r="F804" s="47"/>
      <c r="G804" s="47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47"/>
      <c r="F805" s="47"/>
      <c r="G805" s="47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47"/>
      <c r="F806" s="47"/>
      <c r="G806" s="47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47"/>
      <c r="F807" s="47"/>
      <c r="G807" s="47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47"/>
      <c r="F808" s="47"/>
      <c r="G808" s="47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47"/>
      <c r="F809" s="47"/>
      <c r="G809" s="47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47"/>
      <c r="F810" s="47"/>
      <c r="G810" s="47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47"/>
      <c r="F811" s="47"/>
      <c r="G811" s="47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47"/>
      <c r="F812" s="47"/>
      <c r="G812" s="47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47"/>
      <c r="F813" s="47"/>
      <c r="G813" s="47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47"/>
      <c r="F814" s="47"/>
      <c r="G814" s="47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47"/>
      <c r="F815" s="47"/>
      <c r="G815" s="47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47"/>
      <c r="F816" s="47"/>
      <c r="G816" s="47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47"/>
      <c r="F817" s="47"/>
      <c r="G817" s="47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47"/>
      <c r="F818" s="47"/>
      <c r="G818" s="47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47"/>
      <c r="F819" s="47"/>
      <c r="G819" s="47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47"/>
      <c r="F820" s="47"/>
      <c r="G820" s="47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47"/>
      <c r="F821" s="47"/>
      <c r="G821" s="47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47"/>
      <c r="F822" s="47"/>
      <c r="G822" s="47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47"/>
      <c r="F823" s="47"/>
      <c r="G823" s="47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47"/>
      <c r="F824" s="47"/>
      <c r="G824" s="47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47"/>
      <c r="F825" s="47"/>
      <c r="G825" s="47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47"/>
      <c r="F826" s="47"/>
      <c r="G826" s="47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47"/>
      <c r="F827" s="47"/>
      <c r="G827" s="47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47"/>
      <c r="F828" s="47"/>
      <c r="G828" s="47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47"/>
      <c r="F829" s="47"/>
      <c r="G829" s="47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47"/>
      <c r="F830" s="47"/>
      <c r="G830" s="47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47"/>
      <c r="F831" s="47"/>
      <c r="G831" s="47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47"/>
      <c r="F832" s="47"/>
      <c r="G832" s="47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47"/>
      <c r="F833" s="47"/>
      <c r="G833" s="47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47"/>
      <c r="F834" s="47"/>
      <c r="G834" s="47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47"/>
      <c r="F835" s="47"/>
      <c r="G835" s="47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47"/>
      <c r="F836" s="47"/>
      <c r="G836" s="47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47"/>
      <c r="F837" s="47"/>
      <c r="G837" s="47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47"/>
      <c r="F838" s="47"/>
      <c r="G838" s="47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47"/>
      <c r="F839" s="47"/>
      <c r="G839" s="47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47"/>
      <c r="F840" s="47"/>
      <c r="G840" s="47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47"/>
      <c r="F841" s="47"/>
      <c r="G841" s="47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47"/>
      <c r="F842" s="47"/>
      <c r="G842" s="47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47"/>
      <c r="F843" s="47"/>
      <c r="G843" s="47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47"/>
      <c r="F844" s="47"/>
      <c r="G844" s="47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47"/>
      <c r="F845" s="47"/>
      <c r="G845" s="47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47"/>
      <c r="F846" s="47"/>
      <c r="G846" s="47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47"/>
      <c r="F847" s="47"/>
      <c r="G847" s="47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47"/>
      <c r="F848" s="47"/>
      <c r="G848" s="47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47"/>
      <c r="F849" s="47"/>
      <c r="G849" s="47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47"/>
      <c r="F850" s="47"/>
      <c r="G850" s="47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47"/>
      <c r="F851" s="47"/>
      <c r="G851" s="47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47"/>
      <c r="F852" s="47"/>
      <c r="G852" s="47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47"/>
      <c r="F853" s="47"/>
      <c r="G853" s="47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47"/>
      <c r="F854" s="47"/>
      <c r="G854" s="47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47"/>
      <c r="F855" s="47"/>
      <c r="G855" s="47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47"/>
      <c r="F856" s="47"/>
      <c r="G856" s="47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47"/>
      <c r="F857" s="47"/>
      <c r="G857" s="47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47"/>
      <c r="F858" s="47"/>
      <c r="G858" s="47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47"/>
      <c r="F859" s="47"/>
      <c r="G859" s="47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47"/>
      <c r="F860" s="47"/>
      <c r="G860" s="47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47"/>
      <c r="F861" s="47"/>
      <c r="G861" s="47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47"/>
      <c r="F862" s="47"/>
      <c r="G862" s="47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47"/>
      <c r="F863" s="47"/>
      <c r="G863" s="47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47"/>
      <c r="F864" s="47"/>
      <c r="G864" s="47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47"/>
      <c r="F865" s="47"/>
      <c r="G865" s="47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47"/>
      <c r="F866" s="47"/>
      <c r="G866" s="47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47"/>
      <c r="F867" s="47"/>
      <c r="G867" s="47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47"/>
      <c r="F868" s="47"/>
      <c r="G868" s="47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47"/>
      <c r="F869" s="47"/>
      <c r="G869" s="47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47"/>
      <c r="F870" s="47"/>
      <c r="G870" s="47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47"/>
      <c r="F871" s="47"/>
      <c r="G871" s="47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47"/>
      <c r="F872" s="47"/>
      <c r="G872" s="47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47"/>
      <c r="F873" s="47"/>
      <c r="G873" s="47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47"/>
      <c r="F874" s="47"/>
      <c r="G874" s="47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47"/>
      <c r="F875" s="47"/>
      <c r="G875" s="47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47"/>
      <c r="F876" s="47"/>
      <c r="G876" s="47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47"/>
      <c r="F877" s="47"/>
      <c r="G877" s="47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47"/>
      <c r="F878" s="47"/>
      <c r="G878" s="47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47"/>
      <c r="F879" s="47"/>
      <c r="G879" s="47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47"/>
      <c r="F880" s="47"/>
      <c r="G880" s="47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47"/>
      <c r="F881" s="47"/>
      <c r="G881" s="47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47"/>
      <c r="F882" s="47"/>
      <c r="G882" s="47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47"/>
      <c r="F883" s="47"/>
      <c r="G883" s="47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47"/>
      <c r="F884" s="47"/>
      <c r="G884" s="47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47"/>
      <c r="F885" s="47"/>
      <c r="G885" s="47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47"/>
      <c r="F886" s="47"/>
      <c r="G886" s="47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47"/>
      <c r="F887" s="47"/>
      <c r="G887" s="47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47"/>
      <c r="F888" s="47"/>
      <c r="G888" s="47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47"/>
      <c r="F889" s="47"/>
      <c r="G889" s="47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47"/>
      <c r="F890" s="47"/>
      <c r="G890" s="47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47"/>
      <c r="F891" s="47"/>
      <c r="G891" s="47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47"/>
      <c r="F892" s="47"/>
      <c r="G892" s="47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47"/>
      <c r="F893" s="47"/>
      <c r="G893" s="47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47"/>
      <c r="F894" s="47"/>
      <c r="G894" s="47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47"/>
      <c r="F895" s="47"/>
      <c r="G895" s="47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47"/>
      <c r="F896" s="47"/>
      <c r="G896" s="47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47"/>
      <c r="F897" s="47"/>
      <c r="G897" s="47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47"/>
      <c r="F898" s="47"/>
      <c r="G898" s="47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47"/>
      <c r="F899" s="47"/>
      <c r="G899" s="47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47"/>
      <c r="F900" s="47"/>
      <c r="G900" s="47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47"/>
      <c r="F901" s="47"/>
      <c r="G901" s="47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47"/>
      <c r="F902" s="47"/>
      <c r="G902" s="47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47"/>
      <c r="F903" s="47"/>
      <c r="G903" s="47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47"/>
      <c r="F904" s="47"/>
      <c r="G904" s="47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47"/>
      <c r="F905" s="47"/>
      <c r="G905" s="47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47"/>
      <c r="F906" s="47"/>
      <c r="G906" s="47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47"/>
      <c r="F907" s="47"/>
      <c r="G907" s="47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47"/>
      <c r="F908" s="47"/>
      <c r="G908" s="47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47"/>
      <c r="F909" s="47"/>
      <c r="G909" s="47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47"/>
      <c r="F910" s="47"/>
      <c r="G910" s="47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47"/>
      <c r="F911" s="47"/>
      <c r="G911" s="47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47"/>
      <c r="F912" s="47"/>
      <c r="G912" s="47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47"/>
      <c r="F913" s="47"/>
      <c r="G913" s="47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47"/>
      <c r="F914" s="47"/>
      <c r="G914" s="47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47"/>
      <c r="F915" s="47"/>
      <c r="G915" s="47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47"/>
      <c r="F916" s="47"/>
      <c r="G916" s="47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47"/>
      <c r="F917" s="47"/>
      <c r="G917" s="47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47"/>
      <c r="F918" s="47"/>
      <c r="G918" s="47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47"/>
      <c r="F919" s="47"/>
      <c r="G919" s="47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47"/>
      <c r="F920" s="47"/>
      <c r="G920" s="47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47"/>
      <c r="F921" s="47"/>
      <c r="G921" s="47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47"/>
      <c r="F922" s="47"/>
      <c r="G922" s="47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47"/>
      <c r="F923" s="47"/>
      <c r="G923" s="47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47"/>
      <c r="F924" s="47"/>
      <c r="G924" s="47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47"/>
      <c r="F925" s="47"/>
      <c r="G925" s="47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47"/>
      <c r="F926" s="47"/>
      <c r="G926" s="47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47"/>
      <c r="F927" s="47"/>
      <c r="G927" s="47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47"/>
      <c r="F928" s="47"/>
      <c r="G928" s="47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47"/>
      <c r="F929" s="47"/>
      <c r="G929" s="47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47"/>
      <c r="F930" s="47"/>
      <c r="G930" s="47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47"/>
      <c r="F931" s="47"/>
      <c r="G931" s="47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47"/>
      <c r="F932" s="47"/>
      <c r="G932" s="47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47"/>
      <c r="F933" s="47"/>
      <c r="G933" s="47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47"/>
      <c r="F934" s="47"/>
      <c r="G934" s="47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47"/>
      <c r="F935" s="47"/>
      <c r="G935" s="47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47"/>
      <c r="F936" s="47"/>
      <c r="G936" s="47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47"/>
      <c r="F937" s="47"/>
      <c r="G937" s="47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47"/>
      <c r="F938" s="47"/>
      <c r="G938" s="47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47"/>
      <c r="F939" s="47"/>
      <c r="G939" s="47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47"/>
      <c r="F940" s="47"/>
      <c r="G940" s="47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47"/>
      <c r="F941" s="47"/>
      <c r="G941" s="47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47"/>
      <c r="F942" s="47"/>
      <c r="G942" s="47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47"/>
      <c r="F943" s="47"/>
      <c r="G943" s="47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47"/>
      <c r="F944" s="47"/>
      <c r="G944" s="47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47"/>
      <c r="F945" s="47"/>
      <c r="G945" s="47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47"/>
      <c r="F946" s="47"/>
      <c r="G946" s="47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47"/>
      <c r="F947" s="47"/>
      <c r="G947" s="47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47"/>
      <c r="F948" s="47"/>
      <c r="G948" s="47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47"/>
      <c r="F949" s="47"/>
      <c r="G949" s="47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47"/>
      <c r="F950" s="47"/>
      <c r="G950" s="47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47"/>
      <c r="F951" s="47"/>
      <c r="G951" s="47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47"/>
      <c r="F952" s="47"/>
      <c r="G952" s="47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47"/>
      <c r="F953" s="47"/>
      <c r="G953" s="47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47"/>
      <c r="F954" s="47"/>
      <c r="G954" s="47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47"/>
      <c r="F955" s="47"/>
      <c r="G955" s="47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47"/>
      <c r="F956" s="47"/>
      <c r="G956" s="47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47"/>
      <c r="F957" s="47"/>
      <c r="G957" s="47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47"/>
      <c r="F958" s="47"/>
      <c r="G958" s="47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47"/>
      <c r="F959" s="47"/>
      <c r="G959" s="47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47"/>
      <c r="F960" s="47"/>
      <c r="G960" s="47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47"/>
      <c r="F961" s="47"/>
      <c r="G961" s="47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47"/>
      <c r="F962" s="47"/>
      <c r="G962" s="47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47"/>
      <c r="F963" s="47"/>
      <c r="G963" s="47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47"/>
      <c r="F964" s="47"/>
      <c r="G964" s="47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47"/>
      <c r="F965" s="47"/>
      <c r="G965" s="47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47"/>
      <c r="F966" s="47"/>
      <c r="G966" s="47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47"/>
      <c r="F967" s="47"/>
      <c r="G967" s="47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47"/>
      <c r="F968" s="47"/>
      <c r="G968" s="47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47"/>
      <c r="F969" s="47"/>
      <c r="G969" s="47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47"/>
      <c r="F970" s="47"/>
      <c r="G970" s="47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47"/>
      <c r="F971" s="47"/>
      <c r="G971" s="47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47"/>
      <c r="F972" s="47"/>
      <c r="G972" s="47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47"/>
      <c r="F973" s="47"/>
      <c r="G973" s="47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47"/>
      <c r="F974" s="47"/>
      <c r="G974" s="47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47"/>
      <c r="F975" s="47"/>
      <c r="G975" s="47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47"/>
      <c r="F976" s="47"/>
      <c r="G976" s="47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47"/>
      <c r="F977" s="47"/>
      <c r="G977" s="47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47"/>
      <c r="F978" s="47"/>
      <c r="G978" s="47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47"/>
      <c r="F979" s="47"/>
      <c r="G979" s="47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47"/>
      <c r="F980" s="47"/>
      <c r="G980" s="47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47"/>
      <c r="F981" s="47"/>
      <c r="G981" s="47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47"/>
      <c r="F982" s="47"/>
      <c r="G982" s="47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47"/>
      <c r="F983" s="47"/>
      <c r="G983" s="47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47"/>
      <c r="F984" s="47"/>
      <c r="G984" s="47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47"/>
      <c r="F985" s="47"/>
      <c r="G985" s="47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47"/>
      <c r="F986" s="47"/>
      <c r="G986" s="47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47"/>
      <c r="F987" s="47"/>
      <c r="G987" s="47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47"/>
      <c r="F988" s="47"/>
      <c r="G988" s="47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47"/>
      <c r="F989" s="47"/>
      <c r="G989" s="47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47"/>
      <c r="F990" s="47"/>
      <c r="G990" s="47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47"/>
      <c r="F991" s="47"/>
      <c r="G991" s="47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47"/>
      <c r="F992" s="47"/>
      <c r="G992" s="47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47"/>
      <c r="F993" s="47"/>
      <c r="G993" s="47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47"/>
      <c r="F994" s="47"/>
      <c r="G994" s="47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47"/>
      <c r="F995" s="47"/>
      <c r="G995" s="47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47"/>
      <c r="F996" s="47"/>
      <c r="G996" s="47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47"/>
      <c r="F997" s="47"/>
      <c r="G997" s="47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47"/>
      <c r="F998" s="47"/>
      <c r="G998" s="47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47"/>
      <c r="F999" s="47"/>
      <c r="G999" s="47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47"/>
      <c r="F1000" s="47"/>
      <c r="G1000" s="47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2">
    <mergeCell ref="E134:G134"/>
    <mergeCell ref="E135:G135"/>
    <mergeCell ref="E136:G136"/>
    <mergeCell ref="E137:G137"/>
    <mergeCell ref="E138:G138"/>
    <mergeCell ref="E139:G139"/>
    <mergeCell ref="E140:G140"/>
    <mergeCell ref="E141:G141"/>
    <mergeCell ref="E142:G142"/>
    <mergeCell ref="E143:G143"/>
    <mergeCell ref="E144:G144"/>
    <mergeCell ref="E145:G145"/>
    <mergeCell ref="E146:G146"/>
    <mergeCell ref="E147:G147"/>
    <mergeCell ref="E150:G150"/>
    <mergeCell ref="E151:G151"/>
    <mergeCell ref="E152:G152"/>
    <mergeCell ref="E153:G153"/>
    <mergeCell ref="E154:G154"/>
    <mergeCell ref="E155:G155"/>
    <mergeCell ref="E156:G156"/>
    <mergeCell ref="E157:G157"/>
    <mergeCell ref="E158:G158"/>
    <mergeCell ref="E159:G159"/>
    <mergeCell ref="E160:G160"/>
    <mergeCell ref="E161:G161"/>
    <mergeCell ref="E162:G162"/>
    <mergeCell ref="E163:G163"/>
    <mergeCell ref="E174:G174"/>
    <mergeCell ref="E175:G175"/>
    <mergeCell ref="E176:G176"/>
    <mergeCell ref="E177:G177"/>
    <mergeCell ref="E178:G178"/>
    <mergeCell ref="E179:G179"/>
    <mergeCell ref="E180:G180"/>
    <mergeCell ref="E167:G167"/>
    <mergeCell ref="E168:G168"/>
    <mergeCell ref="E169:G169"/>
    <mergeCell ref="E170:G170"/>
    <mergeCell ref="E171:G171"/>
    <mergeCell ref="E172:G172"/>
    <mergeCell ref="E173:G173"/>
  </mergeCells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6.71"/>
    <col customWidth="1" min="2" max="2" width="17.14"/>
    <col customWidth="1" min="3" max="3" width="16.86"/>
    <col customWidth="1" min="4" max="4" width="17.0"/>
    <col customWidth="1" min="5" max="26" width="8.86"/>
  </cols>
  <sheetData>
    <row r="2">
      <c r="A2" s="63" t="s">
        <v>3</v>
      </c>
      <c r="B2" s="64" t="s">
        <v>29</v>
      </c>
      <c r="C2" s="64" t="s">
        <v>30</v>
      </c>
      <c r="D2" s="64" t="s">
        <v>31</v>
      </c>
    </row>
    <row r="3">
      <c r="A3" s="65" t="s">
        <v>32</v>
      </c>
      <c r="B3" s="10">
        <v>500.0</v>
      </c>
      <c r="C3" s="10"/>
      <c r="D3" s="10"/>
    </row>
    <row r="4">
      <c r="A4" s="27" t="s">
        <v>33</v>
      </c>
      <c r="B4" s="29"/>
      <c r="C4" s="29">
        <v>500.0</v>
      </c>
      <c r="D4" s="29"/>
    </row>
    <row r="5">
      <c r="A5" s="65" t="s">
        <v>34</v>
      </c>
      <c r="B5" s="10"/>
      <c r="C5" s="10"/>
      <c r="D5" s="10">
        <v>500.0</v>
      </c>
    </row>
    <row r="6">
      <c r="A6" s="27" t="s">
        <v>35</v>
      </c>
      <c r="B6" s="29">
        <v>475.0</v>
      </c>
      <c r="C6" s="29"/>
      <c r="D6" s="29"/>
    </row>
    <row r="7">
      <c r="A7" s="65"/>
      <c r="B7" s="10"/>
      <c r="C7" s="10"/>
      <c r="D7" s="10"/>
    </row>
    <row r="8">
      <c r="A8" s="27"/>
      <c r="B8" s="29"/>
      <c r="C8" s="29"/>
      <c r="D8" s="29"/>
    </row>
    <row r="9">
      <c r="A9" s="65"/>
      <c r="B9" s="10"/>
      <c r="C9" s="10"/>
      <c r="D9" s="10"/>
    </row>
    <row r="10">
      <c r="A10" s="27"/>
      <c r="B10" s="29"/>
      <c r="C10" s="29"/>
      <c r="D10" s="29"/>
    </row>
    <row r="11">
      <c r="A11" s="65"/>
      <c r="B11" s="10"/>
      <c r="C11" s="10"/>
      <c r="D11" s="10"/>
    </row>
    <row r="12">
      <c r="A12" s="27"/>
      <c r="B12" s="29"/>
      <c r="C12" s="29"/>
      <c r="D12" s="29"/>
    </row>
    <row r="13">
      <c r="A13" s="65"/>
      <c r="B13" s="10"/>
      <c r="C13" s="10"/>
      <c r="D13" s="10"/>
    </row>
    <row r="14">
      <c r="A14" s="27"/>
      <c r="B14" s="29"/>
      <c r="C14" s="29"/>
      <c r="D14" s="29"/>
    </row>
    <row r="15">
      <c r="A15" s="65"/>
      <c r="B15" s="10"/>
      <c r="C15" s="10"/>
      <c r="D15" s="10"/>
    </row>
    <row r="16">
      <c r="A16" s="27"/>
      <c r="B16" s="29"/>
      <c r="C16" s="29"/>
      <c r="D16" s="29"/>
    </row>
    <row r="17">
      <c r="A17" s="65"/>
      <c r="B17" s="10"/>
      <c r="C17" s="10"/>
      <c r="D17" s="10"/>
    </row>
    <row r="18">
      <c r="A18" s="27"/>
      <c r="B18" s="29"/>
      <c r="C18" s="29"/>
      <c r="D18" s="29"/>
    </row>
    <row r="19">
      <c r="A19" s="65"/>
      <c r="B19" s="10"/>
      <c r="C19" s="10"/>
      <c r="D19" s="10"/>
    </row>
    <row r="20">
      <c r="A20" s="27"/>
      <c r="B20" s="29"/>
      <c r="C20" s="29"/>
      <c r="D20" s="29"/>
    </row>
    <row r="21" ht="15.75" customHeight="1">
      <c r="A21" s="65"/>
      <c r="B21" s="10"/>
      <c r="C21" s="10"/>
      <c r="D21" s="10"/>
    </row>
    <row r="22" ht="15.75" customHeight="1">
      <c r="A22" s="27"/>
      <c r="B22" s="29"/>
      <c r="C22" s="29"/>
      <c r="D22" s="29"/>
    </row>
    <row r="23" ht="15.75" customHeight="1">
      <c r="A23" s="65"/>
      <c r="B23" s="10"/>
      <c r="C23" s="10"/>
      <c r="D23" s="10"/>
    </row>
    <row r="24" ht="15.75" customHeight="1">
      <c r="A24" s="27"/>
      <c r="B24" s="29"/>
      <c r="C24" s="29"/>
      <c r="D24" s="29"/>
    </row>
    <row r="25" ht="15.75" customHeight="1">
      <c r="A25" s="65"/>
      <c r="B25" s="10"/>
      <c r="C25" s="10"/>
      <c r="D25" s="10"/>
    </row>
    <row r="26" ht="15.75" customHeight="1">
      <c r="A26" s="27"/>
      <c r="B26" s="29"/>
      <c r="C26" s="29"/>
      <c r="D26" s="29"/>
    </row>
    <row r="27" ht="15.75" customHeight="1">
      <c r="A27" s="65"/>
      <c r="B27" s="10"/>
      <c r="C27" s="10"/>
      <c r="D27" s="10"/>
    </row>
    <row r="28" ht="15.75" customHeight="1">
      <c r="A28" s="27"/>
      <c r="B28" s="29"/>
      <c r="C28" s="29"/>
      <c r="D28" s="29"/>
    </row>
    <row r="29" ht="15.75" customHeight="1">
      <c r="A29" s="65"/>
      <c r="B29" s="10"/>
      <c r="C29" s="10"/>
      <c r="D29" s="10"/>
    </row>
    <row r="30" ht="15.75" customHeight="1">
      <c r="A30" s="27"/>
      <c r="B30" s="29"/>
      <c r="C30" s="29"/>
      <c r="D30" s="29"/>
    </row>
    <row r="31" ht="15.75" customHeight="1">
      <c r="A31" s="65"/>
      <c r="B31" s="10"/>
      <c r="C31" s="10"/>
      <c r="D31" s="10"/>
    </row>
    <row r="32" ht="15.75" customHeight="1">
      <c r="A32" s="27"/>
      <c r="B32" s="29"/>
      <c r="C32" s="29"/>
      <c r="D32" s="29"/>
    </row>
    <row r="33" ht="15.75" customHeight="1">
      <c r="A33" s="65"/>
      <c r="B33" s="10"/>
      <c r="C33" s="10"/>
      <c r="D33" s="10"/>
    </row>
    <row r="34" ht="15.75" customHeight="1">
      <c r="A34" s="27"/>
      <c r="B34" s="29"/>
      <c r="C34" s="29"/>
      <c r="D34" s="29"/>
    </row>
    <row r="35" ht="28.5" customHeight="1">
      <c r="A35" s="66" t="s">
        <v>25</v>
      </c>
      <c r="B35" s="67">
        <f t="shared" ref="B35:D35" si="1">SUM(B3:B34)</f>
        <v>975</v>
      </c>
      <c r="C35" s="67">
        <f t="shared" si="1"/>
        <v>500</v>
      </c>
      <c r="D35" s="68">
        <f t="shared" si="1"/>
        <v>500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43"/>
    <col customWidth="1" min="2" max="3" width="11.43"/>
    <col customWidth="1" min="4" max="4" width="44.0"/>
    <col customWidth="1" min="5" max="5" width="11.43"/>
    <col customWidth="1" min="6" max="6" width="46.0"/>
    <col customWidth="1" min="7" max="26" width="11.43"/>
  </cols>
  <sheetData>
    <row r="3" ht="16.5" customHeight="1">
      <c r="A3" s="69" t="s">
        <v>36</v>
      </c>
      <c r="D3" s="69" t="s">
        <v>37</v>
      </c>
      <c r="F3" s="70" t="s">
        <v>38</v>
      </c>
    </row>
    <row r="4" ht="66.75" customHeight="1">
      <c r="A4" s="71" t="s">
        <v>39</v>
      </c>
      <c r="D4" s="71" t="s">
        <v>40</v>
      </c>
      <c r="F4" s="71" t="s">
        <v>41</v>
      </c>
    </row>
    <row r="5" ht="19.5" customHeight="1">
      <c r="A5" s="71" t="s">
        <v>42</v>
      </c>
      <c r="D5" s="71" t="s">
        <v>43</v>
      </c>
      <c r="F5" s="71" t="s">
        <v>44</v>
      </c>
    </row>
    <row r="6">
      <c r="A6" s="71" t="s">
        <v>45</v>
      </c>
    </row>
    <row r="7">
      <c r="D7" s="72" t="s">
        <v>46</v>
      </c>
    </row>
    <row r="12">
      <c r="B12" s="7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8.71"/>
    <col customWidth="1" min="2" max="2" width="19.14"/>
    <col customWidth="1" min="3" max="3" width="14.71"/>
    <col customWidth="1" min="4" max="5" width="12.71"/>
    <col customWidth="1" min="6" max="6" width="12.14"/>
    <col customWidth="1" min="7" max="7" width="17.71"/>
    <col customWidth="1" min="8" max="8" width="13.43"/>
    <col customWidth="1" min="9" max="9" width="19.14"/>
    <col customWidth="1" min="10" max="10" width="56.14"/>
    <col customWidth="1" min="11" max="26" width="9.1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63" t="s">
        <v>3</v>
      </c>
      <c r="B2" s="64" t="s">
        <v>47</v>
      </c>
      <c r="C2" s="64" t="s">
        <v>48</v>
      </c>
      <c r="D2" s="64" t="s">
        <v>49</v>
      </c>
      <c r="E2" s="64" t="s">
        <v>50</v>
      </c>
      <c r="F2" s="64" t="s">
        <v>51</v>
      </c>
      <c r="G2" s="64" t="s">
        <v>52</v>
      </c>
      <c r="H2" s="64" t="s">
        <v>53</v>
      </c>
      <c r="I2" s="64" t="s">
        <v>5</v>
      </c>
      <c r="J2" s="74" t="s">
        <v>6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0.25" customHeight="1">
      <c r="A3" s="75" t="s">
        <v>54</v>
      </c>
      <c r="B3" s="76"/>
      <c r="C3" s="76"/>
      <c r="D3" s="76"/>
      <c r="E3" s="76"/>
      <c r="F3" s="76"/>
      <c r="G3" s="76"/>
      <c r="H3" s="76"/>
      <c r="I3" s="76"/>
      <c r="J3" s="77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9.75" customHeight="1">
      <c r="A4" s="78"/>
      <c r="B4" s="79"/>
      <c r="C4" s="79"/>
      <c r="D4" s="79"/>
      <c r="E4" s="79"/>
      <c r="F4" s="79"/>
      <c r="G4" s="79"/>
      <c r="H4" s="79"/>
      <c r="I4" s="79"/>
      <c r="J4" s="80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1.0" customHeight="1">
      <c r="A5" s="48" t="s">
        <v>55</v>
      </c>
      <c r="B5" s="81"/>
      <c r="C5" s="81"/>
      <c r="D5" s="81"/>
      <c r="E5" s="81"/>
      <c r="F5" s="81"/>
      <c r="G5" s="81"/>
      <c r="H5" s="81"/>
      <c r="I5" s="81"/>
      <c r="J5" s="8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75" customHeight="1">
      <c r="A6" s="65" t="s">
        <v>56</v>
      </c>
      <c r="B6" s="10">
        <v>500000.0</v>
      </c>
      <c r="C6" s="83">
        <v>45536.0</v>
      </c>
      <c r="D6" s="10"/>
      <c r="E6" s="10"/>
      <c r="F6" s="84">
        <f t="shared" ref="F6:F21" si="1">IF(ISERROR(G6/B6),"",G6/B6)</f>
        <v>0.5</v>
      </c>
      <c r="G6" s="10">
        <f t="shared" ref="G6:G21" si="2">B6*0.5</f>
        <v>250000</v>
      </c>
      <c r="H6" s="84">
        <f t="shared" ref="H6:H21" si="3">IF(ISERROR(I6/B6),"",I6/B6)</f>
        <v>0.5</v>
      </c>
      <c r="I6" s="10">
        <f t="shared" ref="I6:I21" si="4">B6-G6</f>
        <v>250000</v>
      </c>
      <c r="J6" s="14" t="s">
        <v>57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7" t="s">
        <v>58</v>
      </c>
      <c r="B7" s="29">
        <v>-100000.0</v>
      </c>
      <c r="C7" s="85"/>
      <c r="D7" s="29"/>
      <c r="E7" s="29"/>
      <c r="F7" s="86">
        <f t="shared" si="1"/>
        <v>0.5</v>
      </c>
      <c r="G7" s="29">
        <f t="shared" si="2"/>
        <v>-50000</v>
      </c>
      <c r="H7" s="86">
        <f t="shared" si="3"/>
        <v>0.5</v>
      </c>
      <c r="I7" s="29">
        <f t="shared" si="4"/>
        <v>-50000</v>
      </c>
      <c r="J7" s="87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65" t="s">
        <v>59</v>
      </c>
      <c r="B8" s="10">
        <v>650000.0</v>
      </c>
      <c r="C8" s="83"/>
      <c r="D8" s="10"/>
      <c r="E8" s="10"/>
      <c r="F8" s="84">
        <f t="shared" si="1"/>
        <v>0.5</v>
      </c>
      <c r="G8" s="10">
        <f t="shared" si="2"/>
        <v>325000</v>
      </c>
      <c r="H8" s="84">
        <f t="shared" si="3"/>
        <v>0.5</v>
      </c>
      <c r="I8" s="10">
        <f t="shared" si="4"/>
        <v>325000</v>
      </c>
      <c r="J8" s="14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7" t="s">
        <v>60</v>
      </c>
      <c r="B9" s="29">
        <v>-100000.0</v>
      </c>
      <c r="C9" s="85"/>
      <c r="D9" s="29"/>
      <c r="E9" s="29"/>
      <c r="F9" s="86">
        <f t="shared" si="1"/>
        <v>0.5</v>
      </c>
      <c r="G9" s="29">
        <f t="shared" si="2"/>
        <v>-50000</v>
      </c>
      <c r="H9" s="86">
        <f t="shared" si="3"/>
        <v>0.5</v>
      </c>
      <c r="I9" s="29">
        <f t="shared" si="4"/>
        <v>-50000</v>
      </c>
      <c r="J9" s="87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65" t="s">
        <v>61</v>
      </c>
      <c r="B10" s="10">
        <v>-50000.0</v>
      </c>
      <c r="C10" s="83"/>
      <c r="D10" s="10"/>
      <c r="E10" s="10"/>
      <c r="F10" s="84">
        <f t="shared" si="1"/>
        <v>0.5</v>
      </c>
      <c r="G10" s="10">
        <f t="shared" si="2"/>
        <v>-25000</v>
      </c>
      <c r="H10" s="84">
        <f t="shared" si="3"/>
        <v>0.5</v>
      </c>
      <c r="I10" s="10">
        <f t="shared" si="4"/>
        <v>-25000</v>
      </c>
      <c r="J10" s="88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7"/>
      <c r="B11" s="29"/>
      <c r="C11" s="85"/>
      <c r="D11" s="29"/>
      <c r="E11" s="29"/>
      <c r="F11" s="86" t="str">
        <f t="shared" si="1"/>
        <v/>
      </c>
      <c r="G11" s="29">
        <f t="shared" si="2"/>
        <v>0</v>
      </c>
      <c r="H11" s="86" t="str">
        <f t="shared" si="3"/>
        <v/>
      </c>
      <c r="I11" s="29">
        <f t="shared" si="4"/>
        <v>0</v>
      </c>
      <c r="J11" s="87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65"/>
      <c r="B12" s="10"/>
      <c r="C12" s="83"/>
      <c r="D12" s="10"/>
      <c r="E12" s="10"/>
      <c r="F12" s="84" t="str">
        <f t="shared" si="1"/>
        <v/>
      </c>
      <c r="G12" s="10">
        <f t="shared" si="2"/>
        <v>0</v>
      </c>
      <c r="H12" s="84" t="str">
        <f t="shared" si="3"/>
        <v/>
      </c>
      <c r="I12" s="10">
        <f t="shared" si="4"/>
        <v>0</v>
      </c>
      <c r="J12" s="88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7"/>
      <c r="B13" s="29"/>
      <c r="C13" s="85"/>
      <c r="D13" s="29"/>
      <c r="E13" s="29"/>
      <c r="F13" s="86" t="str">
        <f t="shared" si="1"/>
        <v/>
      </c>
      <c r="G13" s="29">
        <f t="shared" si="2"/>
        <v>0</v>
      </c>
      <c r="H13" s="86" t="str">
        <f t="shared" si="3"/>
        <v/>
      </c>
      <c r="I13" s="29">
        <f t="shared" si="4"/>
        <v>0</v>
      </c>
      <c r="J13" s="87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65"/>
      <c r="B14" s="10"/>
      <c r="C14" s="83"/>
      <c r="D14" s="10"/>
      <c r="E14" s="10"/>
      <c r="F14" s="84" t="str">
        <f t="shared" si="1"/>
        <v/>
      </c>
      <c r="G14" s="10">
        <f t="shared" si="2"/>
        <v>0</v>
      </c>
      <c r="H14" s="84" t="str">
        <f t="shared" si="3"/>
        <v/>
      </c>
      <c r="I14" s="10">
        <f t="shared" si="4"/>
        <v>0</v>
      </c>
      <c r="J14" s="88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7"/>
      <c r="B15" s="29"/>
      <c r="C15" s="85"/>
      <c r="D15" s="29"/>
      <c r="E15" s="29"/>
      <c r="F15" s="86" t="str">
        <f t="shared" si="1"/>
        <v/>
      </c>
      <c r="G15" s="29">
        <f t="shared" si="2"/>
        <v>0</v>
      </c>
      <c r="H15" s="86" t="str">
        <f t="shared" si="3"/>
        <v/>
      </c>
      <c r="I15" s="29">
        <f t="shared" si="4"/>
        <v>0</v>
      </c>
      <c r="J15" s="87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65"/>
      <c r="B16" s="10"/>
      <c r="C16" s="83"/>
      <c r="D16" s="10"/>
      <c r="E16" s="10"/>
      <c r="F16" s="84" t="str">
        <f t="shared" si="1"/>
        <v/>
      </c>
      <c r="G16" s="10">
        <f t="shared" si="2"/>
        <v>0</v>
      </c>
      <c r="H16" s="84" t="str">
        <f t="shared" si="3"/>
        <v/>
      </c>
      <c r="I16" s="10">
        <f t="shared" si="4"/>
        <v>0</v>
      </c>
      <c r="J16" s="88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7"/>
      <c r="B17" s="29"/>
      <c r="C17" s="85"/>
      <c r="D17" s="29"/>
      <c r="E17" s="29"/>
      <c r="F17" s="86" t="str">
        <f t="shared" si="1"/>
        <v/>
      </c>
      <c r="G17" s="29">
        <f t="shared" si="2"/>
        <v>0</v>
      </c>
      <c r="H17" s="86" t="str">
        <f t="shared" si="3"/>
        <v/>
      </c>
      <c r="I17" s="29">
        <f t="shared" si="4"/>
        <v>0</v>
      </c>
      <c r="J17" s="87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65"/>
      <c r="B18" s="10"/>
      <c r="C18" s="83"/>
      <c r="D18" s="10"/>
      <c r="E18" s="10"/>
      <c r="F18" s="84" t="str">
        <f t="shared" si="1"/>
        <v/>
      </c>
      <c r="G18" s="10">
        <f t="shared" si="2"/>
        <v>0</v>
      </c>
      <c r="H18" s="84" t="str">
        <f t="shared" si="3"/>
        <v/>
      </c>
      <c r="I18" s="10">
        <f t="shared" si="4"/>
        <v>0</v>
      </c>
      <c r="J18" s="88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7"/>
      <c r="B19" s="29"/>
      <c r="C19" s="85"/>
      <c r="D19" s="29"/>
      <c r="E19" s="29"/>
      <c r="F19" s="86" t="str">
        <f t="shared" si="1"/>
        <v/>
      </c>
      <c r="G19" s="29">
        <f t="shared" si="2"/>
        <v>0</v>
      </c>
      <c r="H19" s="86" t="str">
        <f t="shared" si="3"/>
        <v/>
      </c>
      <c r="I19" s="29">
        <f t="shared" si="4"/>
        <v>0</v>
      </c>
      <c r="J19" s="87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65"/>
      <c r="B20" s="10"/>
      <c r="C20" s="83"/>
      <c r="D20" s="10"/>
      <c r="E20" s="10"/>
      <c r="F20" s="84" t="str">
        <f t="shared" si="1"/>
        <v/>
      </c>
      <c r="G20" s="10">
        <f t="shared" si="2"/>
        <v>0</v>
      </c>
      <c r="H20" s="84" t="str">
        <f t="shared" si="3"/>
        <v/>
      </c>
      <c r="I20" s="10">
        <f t="shared" si="4"/>
        <v>0</v>
      </c>
      <c r="J20" s="88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27"/>
      <c r="B21" s="29"/>
      <c r="C21" s="85"/>
      <c r="D21" s="29"/>
      <c r="E21" s="29"/>
      <c r="F21" s="86" t="str">
        <f t="shared" si="1"/>
        <v/>
      </c>
      <c r="G21" s="29">
        <f t="shared" si="2"/>
        <v>0</v>
      </c>
      <c r="H21" s="86" t="str">
        <f t="shared" si="3"/>
        <v/>
      </c>
      <c r="I21" s="29">
        <f t="shared" si="4"/>
        <v>0</v>
      </c>
      <c r="J21" s="87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2.5" customHeight="1">
      <c r="A22" s="48" t="s">
        <v>8</v>
      </c>
      <c r="B22" s="89"/>
      <c r="C22" s="90"/>
      <c r="D22" s="91"/>
      <c r="E22" s="91"/>
      <c r="F22" s="92"/>
      <c r="G22" s="89"/>
      <c r="H22" s="92"/>
      <c r="I22" s="89"/>
      <c r="J22" s="8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65" t="s">
        <v>62</v>
      </c>
      <c r="B23" s="10">
        <v>25000.0</v>
      </c>
      <c r="C23" s="83"/>
      <c r="D23" s="10"/>
      <c r="E23" s="10"/>
      <c r="F23" s="84">
        <f t="shared" ref="F23:F40" si="5">IF(ISERROR(G23/B23),"",G23/B23)</f>
        <v>1</v>
      </c>
      <c r="G23" s="10">
        <f t="shared" ref="G23:G40" si="6">B23</f>
        <v>25000</v>
      </c>
      <c r="H23" s="84">
        <f t="shared" ref="H23:H40" si="7">IF(ISERROR(I23/B23),"",I23/B23)</f>
        <v>0</v>
      </c>
      <c r="I23" s="10">
        <f t="shared" ref="I23:I40" si="8">B23-G23</f>
        <v>0</v>
      </c>
      <c r="J23" s="88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7" t="s">
        <v>63</v>
      </c>
      <c r="B24" s="29">
        <v>30000.0</v>
      </c>
      <c r="C24" s="85"/>
      <c r="D24" s="29"/>
      <c r="E24" s="29"/>
      <c r="F24" s="86">
        <f t="shared" si="5"/>
        <v>1</v>
      </c>
      <c r="G24" s="29">
        <f t="shared" si="6"/>
        <v>30000</v>
      </c>
      <c r="H24" s="86">
        <f t="shared" si="7"/>
        <v>0</v>
      </c>
      <c r="I24" s="29">
        <f t="shared" si="8"/>
        <v>0</v>
      </c>
      <c r="J24" s="87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65"/>
      <c r="B25" s="10"/>
      <c r="C25" s="83"/>
      <c r="D25" s="10"/>
      <c r="E25" s="10"/>
      <c r="F25" s="84" t="str">
        <f t="shared" si="5"/>
        <v/>
      </c>
      <c r="G25" s="10" t="str">
        <f t="shared" si="6"/>
        <v/>
      </c>
      <c r="H25" s="84" t="str">
        <f t="shared" si="7"/>
        <v/>
      </c>
      <c r="I25" s="10">
        <f t="shared" si="8"/>
        <v>0</v>
      </c>
      <c r="J25" s="88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27"/>
      <c r="B26" s="29"/>
      <c r="C26" s="85"/>
      <c r="D26" s="29"/>
      <c r="E26" s="29"/>
      <c r="F26" s="86" t="str">
        <f t="shared" si="5"/>
        <v/>
      </c>
      <c r="G26" s="29" t="str">
        <f t="shared" si="6"/>
        <v/>
      </c>
      <c r="H26" s="86" t="str">
        <f t="shared" si="7"/>
        <v/>
      </c>
      <c r="I26" s="29">
        <f t="shared" si="8"/>
        <v>0</v>
      </c>
      <c r="J26" s="87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65"/>
      <c r="B27" s="10"/>
      <c r="C27" s="83"/>
      <c r="D27" s="10"/>
      <c r="E27" s="10"/>
      <c r="F27" s="84" t="str">
        <f t="shared" si="5"/>
        <v/>
      </c>
      <c r="G27" s="10" t="str">
        <f t="shared" si="6"/>
        <v/>
      </c>
      <c r="H27" s="84" t="str">
        <f t="shared" si="7"/>
        <v/>
      </c>
      <c r="I27" s="10">
        <f t="shared" si="8"/>
        <v>0</v>
      </c>
      <c r="J27" s="88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27"/>
      <c r="B28" s="29"/>
      <c r="C28" s="85"/>
      <c r="D28" s="29"/>
      <c r="E28" s="29"/>
      <c r="F28" s="86" t="str">
        <f t="shared" si="5"/>
        <v/>
      </c>
      <c r="G28" s="29" t="str">
        <f t="shared" si="6"/>
        <v/>
      </c>
      <c r="H28" s="86" t="str">
        <f t="shared" si="7"/>
        <v/>
      </c>
      <c r="I28" s="29">
        <f t="shared" si="8"/>
        <v>0</v>
      </c>
      <c r="J28" s="87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65"/>
      <c r="B29" s="10"/>
      <c r="C29" s="83"/>
      <c r="D29" s="10"/>
      <c r="E29" s="10"/>
      <c r="F29" s="84" t="str">
        <f t="shared" si="5"/>
        <v/>
      </c>
      <c r="G29" s="10" t="str">
        <f t="shared" si="6"/>
        <v/>
      </c>
      <c r="H29" s="84" t="str">
        <f t="shared" si="7"/>
        <v/>
      </c>
      <c r="I29" s="10">
        <f t="shared" si="8"/>
        <v>0</v>
      </c>
      <c r="J29" s="88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27"/>
      <c r="B30" s="29"/>
      <c r="C30" s="85"/>
      <c r="D30" s="29"/>
      <c r="E30" s="29"/>
      <c r="F30" s="86" t="str">
        <f t="shared" si="5"/>
        <v/>
      </c>
      <c r="G30" s="29" t="str">
        <f t="shared" si="6"/>
        <v/>
      </c>
      <c r="H30" s="86" t="str">
        <f t="shared" si="7"/>
        <v/>
      </c>
      <c r="I30" s="29">
        <f t="shared" si="8"/>
        <v>0</v>
      </c>
      <c r="J30" s="87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65"/>
      <c r="B31" s="10"/>
      <c r="C31" s="83"/>
      <c r="D31" s="10"/>
      <c r="E31" s="10"/>
      <c r="F31" s="84" t="str">
        <f t="shared" si="5"/>
        <v/>
      </c>
      <c r="G31" s="10" t="str">
        <f t="shared" si="6"/>
        <v/>
      </c>
      <c r="H31" s="84" t="str">
        <f t="shared" si="7"/>
        <v/>
      </c>
      <c r="I31" s="10">
        <f t="shared" si="8"/>
        <v>0</v>
      </c>
      <c r="J31" s="88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27"/>
      <c r="B32" s="29"/>
      <c r="C32" s="85"/>
      <c r="D32" s="29"/>
      <c r="E32" s="29"/>
      <c r="F32" s="86" t="str">
        <f t="shared" si="5"/>
        <v/>
      </c>
      <c r="G32" s="29" t="str">
        <f t="shared" si="6"/>
        <v/>
      </c>
      <c r="H32" s="86" t="str">
        <f t="shared" si="7"/>
        <v/>
      </c>
      <c r="I32" s="29">
        <f t="shared" si="8"/>
        <v>0</v>
      </c>
      <c r="J32" s="87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65"/>
      <c r="B33" s="10"/>
      <c r="C33" s="83"/>
      <c r="D33" s="10"/>
      <c r="E33" s="10"/>
      <c r="F33" s="84" t="str">
        <f t="shared" si="5"/>
        <v/>
      </c>
      <c r="G33" s="10" t="str">
        <f t="shared" si="6"/>
        <v/>
      </c>
      <c r="H33" s="84" t="str">
        <f t="shared" si="7"/>
        <v/>
      </c>
      <c r="I33" s="10">
        <f t="shared" si="8"/>
        <v>0</v>
      </c>
      <c r="J33" s="88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27"/>
      <c r="B34" s="29"/>
      <c r="C34" s="85"/>
      <c r="D34" s="29"/>
      <c r="E34" s="29"/>
      <c r="F34" s="86" t="str">
        <f t="shared" si="5"/>
        <v/>
      </c>
      <c r="G34" s="29" t="str">
        <f t="shared" si="6"/>
        <v/>
      </c>
      <c r="H34" s="86" t="str">
        <f t="shared" si="7"/>
        <v/>
      </c>
      <c r="I34" s="29">
        <f t="shared" si="8"/>
        <v>0</v>
      </c>
      <c r="J34" s="87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65"/>
      <c r="B35" s="10"/>
      <c r="C35" s="83"/>
      <c r="D35" s="10"/>
      <c r="E35" s="10"/>
      <c r="F35" s="84" t="str">
        <f t="shared" si="5"/>
        <v/>
      </c>
      <c r="G35" s="10" t="str">
        <f t="shared" si="6"/>
        <v/>
      </c>
      <c r="H35" s="84" t="str">
        <f t="shared" si="7"/>
        <v/>
      </c>
      <c r="I35" s="10">
        <f t="shared" si="8"/>
        <v>0</v>
      </c>
      <c r="J35" s="88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27"/>
      <c r="B36" s="29"/>
      <c r="C36" s="85"/>
      <c r="D36" s="29"/>
      <c r="E36" s="29"/>
      <c r="F36" s="86" t="str">
        <f t="shared" si="5"/>
        <v/>
      </c>
      <c r="G36" s="29" t="str">
        <f t="shared" si="6"/>
        <v/>
      </c>
      <c r="H36" s="86" t="str">
        <f t="shared" si="7"/>
        <v/>
      </c>
      <c r="I36" s="29">
        <f t="shared" si="8"/>
        <v>0</v>
      </c>
      <c r="J36" s="87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65"/>
      <c r="B37" s="10"/>
      <c r="C37" s="83"/>
      <c r="D37" s="10"/>
      <c r="E37" s="10"/>
      <c r="F37" s="84" t="str">
        <f t="shared" si="5"/>
        <v/>
      </c>
      <c r="G37" s="10" t="str">
        <f t="shared" si="6"/>
        <v/>
      </c>
      <c r="H37" s="84" t="str">
        <f t="shared" si="7"/>
        <v/>
      </c>
      <c r="I37" s="10">
        <f t="shared" si="8"/>
        <v>0</v>
      </c>
      <c r="J37" s="88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27"/>
      <c r="B38" s="29"/>
      <c r="C38" s="85"/>
      <c r="D38" s="29"/>
      <c r="E38" s="29"/>
      <c r="F38" s="86" t="str">
        <f t="shared" si="5"/>
        <v/>
      </c>
      <c r="G38" s="29" t="str">
        <f t="shared" si="6"/>
        <v/>
      </c>
      <c r="H38" s="86" t="str">
        <f t="shared" si="7"/>
        <v/>
      </c>
      <c r="I38" s="29">
        <f t="shared" si="8"/>
        <v>0</v>
      </c>
      <c r="J38" s="87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65"/>
      <c r="B39" s="10"/>
      <c r="C39" s="83"/>
      <c r="D39" s="10"/>
      <c r="E39" s="10"/>
      <c r="F39" s="84" t="str">
        <f t="shared" si="5"/>
        <v/>
      </c>
      <c r="G39" s="10" t="str">
        <f t="shared" si="6"/>
        <v/>
      </c>
      <c r="H39" s="84" t="str">
        <f t="shared" si="7"/>
        <v/>
      </c>
      <c r="I39" s="10">
        <f t="shared" si="8"/>
        <v>0</v>
      </c>
      <c r="J39" s="88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93"/>
      <c r="B40" s="94"/>
      <c r="C40" s="95"/>
      <c r="D40" s="94"/>
      <c r="E40" s="94"/>
      <c r="F40" s="96" t="str">
        <f t="shared" si="5"/>
        <v/>
      </c>
      <c r="G40" s="94" t="str">
        <f t="shared" si="6"/>
        <v/>
      </c>
      <c r="H40" s="96" t="str">
        <f t="shared" si="7"/>
        <v/>
      </c>
      <c r="I40" s="94">
        <f t="shared" si="8"/>
        <v>0</v>
      </c>
      <c r="J40" s="97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2.5" customHeight="1">
      <c r="A41" s="48" t="s">
        <v>9</v>
      </c>
      <c r="B41" s="89"/>
      <c r="C41" s="90"/>
      <c r="D41" s="91"/>
      <c r="E41" s="91"/>
      <c r="F41" s="92"/>
      <c r="G41" s="89"/>
      <c r="H41" s="92"/>
      <c r="I41" s="89"/>
      <c r="J41" s="8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65"/>
      <c r="B42" s="10">
        <v>50000.0</v>
      </c>
      <c r="C42" s="83"/>
      <c r="D42" s="10">
        <v>0.0</v>
      </c>
      <c r="E42" s="10">
        <v>0.0</v>
      </c>
      <c r="F42" s="84">
        <f t="shared" ref="F42:F49" si="9">IF(ISERROR(G42/B42),"",G42/B42)</f>
        <v>0.5</v>
      </c>
      <c r="G42" s="10">
        <f t="shared" ref="G42:G49" si="10">B42*0.5</f>
        <v>25000</v>
      </c>
      <c r="H42" s="84">
        <f t="shared" ref="H42:H49" si="11">IF(ISERROR(I42/B42),"",I42/B42)</f>
        <v>0.5</v>
      </c>
      <c r="I42" s="10">
        <f t="shared" ref="I42:I49" si="12">B42-G42</f>
        <v>25000</v>
      </c>
      <c r="J42" s="88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27"/>
      <c r="B43" s="29">
        <v>10000.0</v>
      </c>
      <c r="C43" s="85"/>
      <c r="D43" s="29"/>
      <c r="E43" s="29"/>
      <c r="F43" s="86">
        <f t="shared" si="9"/>
        <v>0.5</v>
      </c>
      <c r="G43" s="29">
        <f t="shared" si="10"/>
        <v>5000</v>
      </c>
      <c r="H43" s="86">
        <f t="shared" si="11"/>
        <v>0.5</v>
      </c>
      <c r="I43" s="29">
        <f t="shared" si="12"/>
        <v>5000</v>
      </c>
      <c r="J43" s="87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65"/>
      <c r="B44" s="10"/>
      <c r="C44" s="83"/>
      <c r="D44" s="10"/>
      <c r="E44" s="10"/>
      <c r="F44" s="84" t="str">
        <f t="shared" si="9"/>
        <v/>
      </c>
      <c r="G44" s="10">
        <f t="shared" si="10"/>
        <v>0</v>
      </c>
      <c r="H44" s="84" t="str">
        <f t="shared" si="11"/>
        <v/>
      </c>
      <c r="I44" s="10">
        <f t="shared" si="12"/>
        <v>0</v>
      </c>
      <c r="J44" s="88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27"/>
      <c r="B45" s="29"/>
      <c r="C45" s="85"/>
      <c r="D45" s="29"/>
      <c r="E45" s="29"/>
      <c r="F45" s="86" t="str">
        <f t="shared" si="9"/>
        <v/>
      </c>
      <c r="G45" s="29">
        <f t="shared" si="10"/>
        <v>0</v>
      </c>
      <c r="H45" s="86" t="str">
        <f t="shared" si="11"/>
        <v/>
      </c>
      <c r="I45" s="29">
        <f t="shared" si="12"/>
        <v>0</v>
      </c>
      <c r="J45" s="87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65"/>
      <c r="B46" s="10"/>
      <c r="C46" s="83"/>
      <c r="D46" s="10"/>
      <c r="E46" s="10"/>
      <c r="F46" s="84" t="str">
        <f t="shared" si="9"/>
        <v/>
      </c>
      <c r="G46" s="10">
        <f t="shared" si="10"/>
        <v>0</v>
      </c>
      <c r="H46" s="84" t="str">
        <f t="shared" si="11"/>
        <v/>
      </c>
      <c r="I46" s="10">
        <f t="shared" si="12"/>
        <v>0</v>
      </c>
      <c r="J46" s="88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27"/>
      <c r="B47" s="29"/>
      <c r="C47" s="85"/>
      <c r="D47" s="29"/>
      <c r="E47" s="29"/>
      <c r="F47" s="86" t="str">
        <f t="shared" si="9"/>
        <v/>
      </c>
      <c r="G47" s="29">
        <f t="shared" si="10"/>
        <v>0</v>
      </c>
      <c r="H47" s="86" t="str">
        <f t="shared" si="11"/>
        <v/>
      </c>
      <c r="I47" s="29">
        <f t="shared" si="12"/>
        <v>0</v>
      </c>
      <c r="J47" s="87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65"/>
      <c r="B48" s="10"/>
      <c r="C48" s="83"/>
      <c r="D48" s="10"/>
      <c r="E48" s="10"/>
      <c r="F48" s="84" t="str">
        <f t="shared" si="9"/>
        <v/>
      </c>
      <c r="G48" s="10">
        <f t="shared" si="10"/>
        <v>0</v>
      </c>
      <c r="H48" s="84" t="str">
        <f t="shared" si="11"/>
        <v/>
      </c>
      <c r="I48" s="10">
        <f t="shared" si="12"/>
        <v>0</v>
      </c>
      <c r="J48" s="88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93"/>
      <c r="B49" s="94"/>
      <c r="C49" s="95"/>
      <c r="D49" s="94"/>
      <c r="E49" s="94"/>
      <c r="F49" s="96" t="str">
        <f t="shared" si="9"/>
        <v/>
      </c>
      <c r="G49" s="94">
        <f t="shared" si="10"/>
        <v>0</v>
      </c>
      <c r="H49" s="96" t="str">
        <f t="shared" si="11"/>
        <v/>
      </c>
      <c r="I49" s="94">
        <f t="shared" si="12"/>
        <v>0</v>
      </c>
      <c r="J49" s="97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2.5" customHeight="1">
      <c r="A50" s="48" t="s">
        <v>10</v>
      </c>
      <c r="B50" s="89"/>
      <c r="C50" s="90"/>
      <c r="D50" s="91"/>
      <c r="E50" s="91"/>
      <c r="F50" s="92"/>
      <c r="G50" s="89"/>
      <c r="H50" s="92"/>
      <c r="I50" s="89"/>
      <c r="J50" s="8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65"/>
      <c r="B51" s="10">
        <v>100000.0</v>
      </c>
      <c r="C51" s="83"/>
      <c r="D51" s="10">
        <v>0.0</v>
      </c>
      <c r="E51" s="10">
        <v>0.0</v>
      </c>
      <c r="F51" s="84">
        <f t="shared" ref="F51:F65" si="13">IF(ISERROR(G51/B51),"",G51/B51)</f>
        <v>0.5</v>
      </c>
      <c r="G51" s="10">
        <f t="shared" ref="G51:G65" si="14">B51*0.5</f>
        <v>50000</v>
      </c>
      <c r="H51" s="84">
        <f t="shared" ref="H51:H65" si="15">IF(ISERROR(I51/B51),"",I51/B51)</f>
        <v>0.5</v>
      </c>
      <c r="I51" s="10">
        <f t="shared" ref="I51:I65" si="16">B51-G51</f>
        <v>50000</v>
      </c>
      <c r="J51" s="14" t="s">
        <v>64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27"/>
      <c r="B52" s="29">
        <v>150000.0</v>
      </c>
      <c r="C52" s="85"/>
      <c r="D52" s="29"/>
      <c r="E52" s="29"/>
      <c r="F52" s="86">
        <f t="shared" si="13"/>
        <v>0.5</v>
      </c>
      <c r="G52" s="29">
        <f t="shared" si="14"/>
        <v>75000</v>
      </c>
      <c r="H52" s="86">
        <f t="shared" si="15"/>
        <v>0.5</v>
      </c>
      <c r="I52" s="29">
        <f t="shared" si="16"/>
        <v>75000</v>
      </c>
      <c r="J52" s="87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65"/>
      <c r="B53" s="10"/>
      <c r="C53" s="83"/>
      <c r="D53" s="10"/>
      <c r="E53" s="10"/>
      <c r="F53" s="84" t="str">
        <f t="shared" si="13"/>
        <v/>
      </c>
      <c r="G53" s="10">
        <f t="shared" si="14"/>
        <v>0</v>
      </c>
      <c r="H53" s="84" t="str">
        <f t="shared" si="15"/>
        <v/>
      </c>
      <c r="I53" s="10">
        <f t="shared" si="16"/>
        <v>0</v>
      </c>
      <c r="J53" s="88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27"/>
      <c r="B54" s="29"/>
      <c r="C54" s="85"/>
      <c r="D54" s="29"/>
      <c r="E54" s="29"/>
      <c r="F54" s="86" t="str">
        <f t="shared" si="13"/>
        <v/>
      </c>
      <c r="G54" s="29">
        <f t="shared" si="14"/>
        <v>0</v>
      </c>
      <c r="H54" s="86" t="str">
        <f t="shared" si="15"/>
        <v/>
      </c>
      <c r="I54" s="29">
        <f t="shared" si="16"/>
        <v>0</v>
      </c>
      <c r="J54" s="87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65"/>
      <c r="B55" s="10"/>
      <c r="C55" s="83"/>
      <c r="D55" s="10"/>
      <c r="E55" s="10"/>
      <c r="F55" s="84" t="str">
        <f t="shared" si="13"/>
        <v/>
      </c>
      <c r="G55" s="10">
        <f t="shared" si="14"/>
        <v>0</v>
      </c>
      <c r="H55" s="84" t="str">
        <f t="shared" si="15"/>
        <v/>
      </c>
      <c r="I55" s="10">
        <f t="shared" si="16"/>
        <v>0</v>
      </c>
      <c r="J55" s="88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27"/>
      <c r="B56" s="29"/>
      <c r="C56" s="85"/>
      <c r="D56" s="29"/>
      <c r="E56" s="29"/>
      <c r="F56" s="86" t="str">
        <f t="shared" si="13"/>
        <v/>
      </c>
      <c r="G56" s="29">
        <f t="shared" si="14"/>
        <v>0</v>
      </c>
      <c r="H56" s="86" t="str">
        <f t="shared" si="15"/>
        <v/>
      </c>
      <c r="I56" s="29">
        <f t="shared" si="16"/>
        <v>0</v>
      </c>
      <c r="J56" s="87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65"/>
      <c r="B57" s="10"/>
      <c r="C57" s="83"/>
      <c r="D57" s="10"/>
      <c r="E57" s="10"/>
      <c r="F57" s="84" t="str">
        <f t="shared" si="13"/>
        <v/>
      </c>
      <c r="G57" s="10">
        <f t="shared" si="14"/>
        <v>0</v>
      </c>
      <c r="H57" s="84" t="str">
        <f t="shared" si="15"/>
        <v/>
      </c>
      <c r="I57" s="10">
        <f t="shared" si="16"/>
        <v>0</v>
      </c>
      <c r="J57" s="88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27"/>
      <c r="B58" s="29"/>
      <c r="C58" s="85"/>
      <c r="D58" s="29"/>
      <c r="E58" s="29"/>
      <c r="F58" s="86" t="str">
        <f t="shared" si="13"/>
        <v/>
      </c>
      <c r="G58" s="29">
        <f t="shared" si="14"/>
        <v>0</v>
      </c>
      <c r="H58" s="86" t="str">
        <f t="shared" si="15"/>
        <v/>
      </c>
      <c r="I58" s="29">
        <f t="shared" si="16"/>
        <v>0</v>
      </c>
      <c r="J58" s="87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65"/>
      <c r="B59" s="10"/>
      <c r="C59" s="83"/>
      <c r="D59" s="10"/>
      <c r="E59" s="10"/>
      <c r="F59" s="84" t="str">
        <f t="shared" si="13"/>
        <v/>
      </c>
      <c r="G59" s="10">
        <f t="shared" si="14"/>
        <v>0</v>
      </c>
      <c r="H59" s="84" t="str">
        <f t="shared" si="15"/>
        <v/>
      </c>
      <c r="I59" s="10">
        <f t="shared" si="16"/>
        <v>0</v>
      </c>
      <c r="J59" s="88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27"/>
      <c r="B60" s="29"/>
      <c r="C60" s="85"/>
      <c r="D60" s="29"/>
      <c r="E60" s="29"/>
      <c r="F60" s="86" t="str">
        <f t="shared" si="13"/>
        <v/>
      </c>
      <c r="G60" s="29">
        <f t="shared" si="14"/>
        <v>0</v>
      </c>
      <c r="H60" s="86" t="str">
        <f t="shared" si="15"/>
        <v/>
      </c>
      <c r="I60" s="29">
        <f t="shared" si="16"/>
        <v>0</v>
      </c>
      <c r="J60" s="87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65"/>
      <c r="B61" s="10"/>
      <c r="C61" s="83"/>
      <c r="D61" s="10"/>
      <c r="E61" s="10"/>
      <c r="F61" s="84" t="str">
        <f t="shared" si="13"/>
        <v/>
      </c>
      <c r="G61" s="10">
        <f t="shared" si="14"/>
        <v>0</v>
      </c>
      <c r="H61" s="84" t="str">
        <f t="shared" si="15"/>
        <v/>
      </c>
      <c r="I61" s="10">
        <f t="shared" si="16"/>
        <v>0</v>
      </c>
      <c r="J61" s="88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27"/>
      <c r="B62" s="29"/>
      <c r="C62" s="85"/>
      <c r="D62" s="29"/>
      <c r="E62" s="29"/>
      <c r="F62" s="86" t="str">
        <f t="shared" si="13"/>
        <v/>
      </c>
      <c r="G62" s="29">
        <f t="shared" si="14"/>
        <v>0</v>
      </c>
      <c r="H62" s="86" t="str">
        <f t="shared" si="15"/>
        <v/>
      </c>
      <c r="I62" s="29">
        <f t="shared" si="16"/>
        <v>0</v>
      </c>
      <c r="J62" s="87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65"/>
      <c r="B63" s="10"/>
      <c r="C63" s="83"/>
      <c r="D63" s="10"/>
      <c r="E63" s="10"/>
      <c r="F63" s="84" t="str">
        <f t="shared" si="13"/>
        <v/>
      </c>
      <c r="G63" s="10">
        <f t="shared" si="14"/>
        <v>0</v>
      </c>
      <c r="H63" s="84" t="str">
        <f t="shared" si="15"/>
        <v/>
      </c>
      <c r="I63" s="10">
        <f t="shared" si="16"/>
        <v>0</v>
      </c>
      <c r="J63" s="88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27"/>
      <c r="B64" s="29"/>
      <c r="C64" s="85"/>
      <c r="D64" s="29"/>
      <c r="E64" s="29"/>
      <c r="F64" s="86" t="str">
        <f t="shared" si="13"/>
        <v/>
      </c>
      <c r="G64" s="29">
        <f t="shared" si="14"/>
        <v>0</v>
      </c>
      <c r="H64" s="86" t="str">
        <f t="shared" si="15"/>
        <v/>
      </c>
      <c r="I64" s="29">
        <f t="shared" si="16"/>
        <v>0</v>
      </c>
      <c r="J64" s="87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98"/>
      <c r="B65" s="99"/>
      <c r="C65" s="100"/>
      <c r="D65" s="99"/>
      <c r="E65" s="99"/>
      <c r="F65" s="101" t="str">
        <f t="shared" si="13"/>
        <v/>
      </c>
      <c r="G65" s="99">
        <f t="shared" si="14"/>
        <v>0</v>
      </c>
      <c r="H65" s="101" t="str">
        <f t="shared" si="15"/>
        <v/>
      </c>
      <c r="I65" s="99">
        <f t="shared" si="16"/>
        <v>0</v>
      </c>
      <c r="J65" s="10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2.5" customHeight="1">
      <c r="A66" s="48" t="s">
        <v>11</v>
      </c>
      <c r="B66" s="89"/>
      <c r="C66" s="90"/>
      <c r="D66" s="91"/>
      <c r="E66" s="91"/>
      <c r="F66" s="92"/>
      <c r="G66" s="89"/>
      <c r="H66" s="92"/>
      <c r="I66" s="89"/>
      <c r="J66" s="8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65"/>
      <c r="B67" s="10">
        <v>45000.0</v>
      </c>
      <c r="C67" s="83"/>
      <c r="D67" s="10">
        <v>0.0</v>
      </c>
      <c r="E67" s="10">
        <v>0.0</v>
      </c>
      <c r="F67" s="84">
        <f t="shared" ref="F67:F76" si="17">IF(ISERROR(G67/B67),"",G67/B67)</f>
        <v>0.5</v>
      </c>
      <c r="G67" s="10">
        <f t="shared" ref="G67:G76" si="18">B67*0.5</f>
        <v>22500</v>
      </c>
      <c r="H67" s="84">
        <f t="shared" ref="H67:H76" si="19">IF(ISERROR(I67/B67),"",I67/B67)</f>
        <v>0.5</v>
      </c>
      <c r="I67" s="10">
        <f t="shared" ref="I67:I76" si="20">B67-G67</f>
        <v>22500</v>
      </c>
      <c r="J67" s="8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27"/>
      <c r="B68" s="29">
        <v>-35000.0</v>
      </c>
      <c r="C68" s="85"/>
      <c r="D68" s="29"/>
      <c r="E68" s="29"/>
      <c r="F68" s="86">
        <f t="shared" si="17"/>
        <v>0.5</v>
      </c>
      <c r="G68" s="29">
        <f t="shared" si="18"/>
        <v>-17500</v>
      </c>
      <c r="H68" s="86">
        <f t="shared" si="19"/>
        <v>0.5</v>
      </c>
      <c r="I68" s="29">
        <f t="shared" si="20"/>
        <v>-17500</v>
      </c>
      <c r="J68" s="87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65"/>
      <c r="B69" s="10"/>
      <c r="C69" s="83"/>
      <c r="D69" s="10"/>
      <c r="E69" s="10"/>
      <c r="F69" s="84" t="str">
        <f t="shared" si="17"/>
        <v/>
      </c>
      <c r="G69" s="10">
        <f t="shared" si="18"/>
        <v>0</v>
      </c>
      <c r="H69" s="84" t="str">
        <f t="shared" si="19"/>
        <v/>
      </c>
      <c r="I69" s="10">
        <f t="shared" si="20"/>
        <v>0</v>
      </c>
      <c r="J69" s="8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27"/>
      <c r="B70" s="29"/>
      <c r="C70" s="85"/>
      <c r="D70" s="29"/>
      <c r="E70" s="29"/>
      <c r="F70" s="86" t="str">
        <f t="shared" si="17"/>
        <v/>
      </c>
      <c r="G70" s="29">
        <f t="shared" si="18"/>
        <v>0</v>
      </c>
      <c r="H70" s="86" t="str">
        <f t="shared" si="19"/>
        <v/>
      </c>
      <c r="I70" s="29">
        <f t="shared" si="20"/>
        <v>0</v>
      </c>
      <c r="J70" s="87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65"/>
      <c r="B71" s="10"/>
      <c r="C71" s="83"/>
      <c r="D71" s="10"/>
      <c r="E71" s="10"/>
      <c r="F71" s="84" t="str">
        <f t="shared" si="17"/>
        <v/>
      </c>
      <c r="G71" s="10">
        <f t="shared" si="18"/>
        <v>0</v>
      </c>
      <c r="H71" s="84" t="str">
        <f t="shared" si="19"/>
        <v/>
      </c>
      <c r="I71" s="10">
        <f t="shared" si="20"/>
        <v>0</v>
      </c>
      <c r="J71" s="88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27"/>
      <c r="B72" s="29"/>
      <c r="C72" s="85"/>
      <c r="D72" s="29"/>
      <c r="E72" s="29"/>
      <c r="F72" s="86" t="str">
        <f t="shared" si="17"/>
        <v/>
      </c>
      <c r="G72" s="29">
        <f t="shared" si="18"/>
        <v>0</v>
      </c>
      <c r="H72" s="86" t="str">
        <f t="shared" si="19"/>
        <v/>
      </c>
      <c r="I72" s="29">
        <f t="shared" si="20"/>
        <v>0</v>
      </c>
      <c r="J72" s="87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65"/>
      <c r="B73" s="10"/>
      <c r="C73" s="83"/>
      <c r="D73" s="10"/>
      <c r="E73" s="10"/>
      <c r="F73" s="84" t="str">
        <f t="shared" si="17"/>
        <v/>
      </c>
      <c r="G73" s="10">
        <f t="shared" si="18"/>
        <v>0</v>
      </c>
      <c r="H73" s="84" t="str">
        <f t="shared" si="19"/>
        <v/>
      </c>
      <c r="I73" s="10">
        <f t="shared" si="20"/>
        <v>0</v>
      </c>
      <c r="J73" s="88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27"/>
      <c r="B74" s="29"/>
      <c r="C74" s="85"/>
      <c r="D74" s="29"/>
      <c r="E74" s="29"/>
      <c r="F74" s="86" t="str">
        <f t="shared" si="17"/>
        <v/>
      </c>
      <c r="G74" s="29">
        <f t="shared" si="18"/>
        <v>0</v>
      </c>
      <c r="H74" s="86" t="str">
        <f t="shared" si="19"/>
        <v/>
      </c>
      <c r="I74" s="29">
        <f t="shared" si="20"/>
        <v>0</v>
      </c>
      <c r="J74" s="87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65"/>
      <c r="B75" s="10"/>
      <c r="C75" s="83"/>
      <c r="D75" s="10"/>
      <c r="E75" s="10"/>
      <c r="F75" s="84" t="str">
        <f t="shared" si="17"/>
        <v/>
      </c>
      <c r="G75" s="10">
        <f t="shared" si="18"/>
        <v>0</v>
      </c>
      <c r="H75" s="84" t="str">
        <f t="shared" si="19"/>
        <v/>
      </c>
      <c r="I75" s="10">
        <f t="shared" si="20"/>
        <v>0</v>
      </c>
      <c r="J75" s="88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27"/>
      <c r="B76" s="29"/>
      <c r="C76" s="85"/>
      <c r="D76" s="29"/>
      <c r="E76" s="29"/>
      <c r="F76" s="86" t="str">
        <f t="shared" si="17"/>
        <v/>
      </c>
      <c r="G76" s="29">
        <f t="shared" si="18"/>
        <v>0</v>
      </c>
      <c r="H76" s="86" t="str">
        <f t="shared" si="19"/>
        <v/>
      </c>
      <c r="I76" s="29">
        <f t="shared" si="20"/>
        <v>0</v>
      </c>
      <c r="J76" s="87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2.5" customHeight="1">
      <c r="A77" s="48" t="s">
        <v>12</v>
      </c>
      <c r="B77" s="89"/>
      <c r="C77" s="90"/>
      <c r="D77" s="91"/>
      <c r="E77" s="91"/>
      <c r="F77" s="92"/>
      <c r="G77" s="89"/>
      <c r="H77" s="92"/>
      <c r="I77" s="89"/>
      <c r="J77" s="8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65" t="s">
        <v>65</v>
      </c>
      <c r="B78" s="10">
        <v>10000.0</v>
      </c>
      <c r="C78" s="83">
        <v>45536.0</v>
      </c>
      <c r="D78" s="10">
        <v>0.0</v>
      </c>
      <c r="E78" s="10">
        <v>0.0</v>
      </c>
      <c r="F78" s="84">
        <f t="shared" ref="F78:F85" si="21">IF(ISERROR(G78/B78),"",G78/B78)</f>
        <v>0.5</v>
      </c>
      <c r="G78" s="10">
        <f t="shared" ref="G78:G85" si="22">B78*0.5</f>
        <v>5000</v>
      </c>
      <c r="H78" s="84">
        <f t="shared" ref="H78:H85" si="23">IF(ISERROR(I78/B78),"",I78/B78)</f>
        <v>0.5</v>
      </c>
      <c r="I78" s="10">
        <f t="shared" ref="I78:I85" si="24">B78-G78</f>
        <v>5000</v>
      </c>
      <c r="J78" s="88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27" t="s">
        <v>66</v>
      </c>
      <c r="B79" s="29">
        <v>10000.0</v>
      </c>
      <c r="C79" s="85"/>
      <c r="D79" s="29"/>
      <c r="E79" s="29"/>
      <c r="F79" s="86">
        <f t="shared" si="21"/>
        <v>0.5</v>
      </c>
      <c r="G79" s="29">
        <f t="shared" si="22"/>
        <v>5000</v>
      </c>
      <c r="H79" s="86">
        <f t="shared" si="23"/>
        <v>0.5</v>
      </c>
      <c r="I79" s="29">
        <f t="shared" si="24"/>
        <v>5000</v>
      </c>
      <c r="J79" s="87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65"/>
      <c r="B80" s="10"/>
      <c r="C80" s="83"/>
      <c r="D80" s="10"/>
      <c r="E80" s="10"/>
      <c r="F80" s="84" t="str">
        <f t="shared" si="21"/>
        <v/>
      </c>
      <c r="G80" s="10">
        <f t="shared" si="22"/>
        <v>0</v>
      </c>
      <c r="H80" s="84" t="str">
        <f t="shared" si="23"/>
        <v/>
      </c>
      <c r="I80" s="10">
        <f t="shared" si="24"/>
        <v>0</v>
      </c>
      <c r="J80" s="88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27"/>
      <c r="B81" s="29"/>
      <c r="C81" s="85"/>
      <c r="D81" s="29"/>
      <c r="E81" s="29"/>
      <c r="F81" s="86" t="str">
        <f t="shared" si="21"/>
        <v/>
      </c>
      <c r="G81" s="29">
        <f t="shared" si="22"/>
        <v>0</v>
      </c>
      <c r="H81" s="86" t="str">
        <f t="shared" si="23"/>
        <v/>
      </c>
      <c r="I81" s="29">
        <f t="shared" si="24"/>
        <v>0</v>
      </c>
      <c r="J81" s="87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65"/>
      <c r="B82" s="10"/>
      <c r="C82" s="83"/>
      <c r="D82" s="10"/>
      <c r="E82" s="10"/>
      <c r="F82" s="84" t="str">
        <f t="shared" si="21"/>
        <v/>
      </c>
      <c r="G82" s="10">
        <f t="shared" si="22"/>
        <v>0</v>
      </c>
      <c r="H82" s="84" t="str">
        <f t="shared" si="23"/>
        <v/>
      </c>
      <c r="I82" s="10">
        <f t="shared" si="24"/>
        <v>0</v>
      </c>
      <c r="J82" s="88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27"/>
      <c r="B83" s="29"/>
      <c r="C83" s="85"/>
      <c r="D83" s="29"/>
      <c r="E83" s="29"/>
      <c r="F83" s="86" t="str">
        <f t="shared" si="21"/>
        <v/>
      </c>
      <c r="G83" s="29">
        <f t="shared" si="22"/>
        <v>0</v>
      </c>
      <c r="H83" s="86" t="str">
        <f t="shared" si="23"/>
        <v/>
      </c>
      <c r="I83" s="29">
        <f t="shared" si="24"/>
        <v>0</v>
      </c>
      <c r="J83" s="87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65"/>
      <c r="B84" s="10"/>
      <c r="C84" s="83"/>
      <c r="D84" s="10"/>
      <c r="E84" s="10"/>
      <c r="F84" s="84" t="str">
        <f t="shared" si="21"/>
        <v/>
      </c>
      <c r="G84" s="10">
        <f t="shared" si="22"/>
        <v>0</v>
      </c>
      <c r="H84" s="84" t="str">
        <f t="shared" si="23"/>
        <v/>
      </c>
      <c r="I84" s="10">
        <f t="shared" si="24"/>
        <v>0</v>
      </c>
      <c r="J84" s="88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27"/>
      <c r="B85" s="29"/>
      <c r="C85" s="85"/>
      <c r="D85" s="29"/>
      <c r="E85" s="29"/>
      <c r="F85" s="86" t="str">
        <f t="shared" si="21"/>
        <v/>
      </c>
      <c r="G85" s="29">
        <f t="shared" si="22"/>
        <v>0</v>
      </c>
      <c r="H85" s="86" t="str">
        <f t="shared" si="23"/>
        <v/>
      </c>
      <c r="I85" s="29">
        <f t="shared" si="24"/>
        <v>0</v>
      </c>
      <c r="J85" s="87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2.5" customHeight="1">
      <c r="A86" s="48" t="s">
        <v>13</v>
      </c>
      <c r="B86" s="89"/>
      <c r="C86" s="90"/>
      <c r="D86" s="91"/>
      <c r="E86" s="91"/>
      <c r="F86" s="92"/>
      <c r="G86" s="89"/>
      <c r="H86" s="92"/>
      <c r="I86" s="89"/>
      <c r="J86" s="8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65" t="s">
        <v>67</v>
      </c>
      <c r="B87" s="10">
        <v>100000.0</v>
      </c>
      <c r="C87" s="83"/>
      <c r="D87" s="10">
        <v>0.0</v>
      </c>
      <c r="E87" s="10">
        <v>0.0</v>
      </c>
      <c r="F87" s="84">
        <f t="shared" ref="F87:F92" si="25">IF(ISERROR(G87/B87),"",G87/B87)</f>
        <v>0.5</v>
      </c>
      <c r="G87" s="10">
        <f t="shared" ref="G87:G92" si="26">B87*0.5</f>
        <v>50000</v>
      </c>
      <c r="H87" s="84">
        <f t="shared" ref="H87:H92" si="27">IF(ISERROR(I87/B87),"",I87/B87)</f>
        <v>0.5</v>
      </c>
      <c r="I87" s="10">
        <f t="shared" ref="I87:I92" si="28">B87-G87</f>
        <v>50000</v>
      </c>
      <c r="J87" s="88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27" t="s">
        <v>68</v>
      </c>
      <c r="B88" s="29">
        <v>75000.0</v>
      </c>
      <c r="C88" s="85"/>
      <c r="D88" s="29"/>
      <c r="E88" s="29"/>
      <c r="F88" s="86">
        <f t="shared" si="25"/>
        <v>0.5</v>
      </c>
      <c r="G88" s="29">
        <f t="shared" si="26"/>
        <v>37500</v>
      </c>
      <c r="H88" s="86">
        <f t="shared" si="27"/>
        <v>0.5</v>
      </c>
      <c r="I88" s="29">
        <f t="shared" si="28"/>
        <v>37500</v>
      </c>
      <c r="J88" s="87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65"/>
      <c r="B89" s="10"/>
      <c r="C89" s="83"/>
      <c r="D89" s="10"/>
      <c r="E89" s="10"/>
      <c r="F89" s="84" t="str">
        <f t="shared" si="25"/>
        <v/>
      </c>
      <c r="G89" s="10">
        <f t="shared" si="26"/>
        <v>0</v>
      </c>
      <c r="H89" s="84" t="str">
        <f t="shared" si="27"/>
        <v/>
      </c>
      <c r="I89" s="10">
        <f t="shared" si="28"/>
        <v>0</v>
      </c>
      <c r="J89" s="88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27"/>
      <c r="B90" s="29"/>
      <c r="C90" s="85"/>
      <c r="D90" s="29"/>
      <c r="E90" s="29"/>
      <c r="F90" s="86" t="str">
        <f t="shared" si="25"/>
        <v/>
      </c>
      <c r="G90" s="29">
        <f t="shared" si="26"/>
        <v>0</v>
      </c>
      <c r="H90" s="86" t="str">
        <f t="shared" si="27"/>
        <v/>
      </c>
      <c r="I90" s="29">
        <f t="shared" si="28"/>
        <v>0</v>
      </c>
      <c r="J90" s="87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65"/>
      <c r="B91" s="10"/>
      <c r="C91" s="83"/>
      <c r="D91" s="10"/>
      <c r="E91" s="10"/>
      <c r="F91" s="84" t="str">
        <f t="shared" si="25"/>
        <v/>
      </c>
      <c r="G91" s="10">
        <f t="shared" si="26"/>
        <v>0</v>
      </c>
      <c r="H91" s="84" t="str">
        <f t="shared" si="27"/>
        <v/>
      </c>
      <c r="I91" s="10">
        <f t="shared" si="28"/>
        <v>0</v>
      </c>
      <c r="J91" s="88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27"/>
      <c r="B92" s="29"/>
      <c r="C92" s="85"/>
      <c r="D92" s="29"/>
      <c r="E92" s="29"/>
      <c r="F92" s="86" t="str">
        <f t="shared" si="25"/>
        <v/>
      </c>
      <c r="G92" s="29">
        <f t="shared" si="26"/>
        <v>0</v>
      </c>
      <c r="H92" s="86" t="str">
        <f t="shared" si="27"/>
        <v/>
      </c>
      <c r="I92" s="29">
        <f t="shared" si="28"/>
        <v>0</v>
      </c>
      <c r="J92" s="87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2.5" customHeight="1">
      <c r="A93" s="48" t="s">
        <v>14</v>
      </c>
      <c r="B93" s="89"/>
      <c r="C93" s="90"/>
      <c r="D93" s="91"/>
      <c r="E93" s="91"/>
      <c r="F93" s="92"/>
      <c r="G93" s="89"/>
      <c r="H93" s="92"/>
      <c r="I93" s="89"/>
      <c r="J93" s="8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65" t="s">
        <v>69</v>
      </c>
      <c r="B94" s="10">
        <v>25000.0</v>
      </c>
      <c r="C94" s="83"/>
      <c r="D94" s="10">
        <v>0.0</v>
      </c>
      <c r="E94" s="10">
        <v>0.0</v>
      </c>
      <c r="F94" s="84">
        <f t="shared" ref="F94:F104" si="29">IF(ISERROR(G94/B94),"",G94/B94)</f>
        <v>0.5</v>
      </c>
      <c r="G94" s="10">
        <f t="shared" ref="G94:G104" si="30">B94*0.5</f>
        <v>12500</v>
      </c>
      <c r="H94" s="84">
        <f t="shared" ref="H94:H104" si="31">IF(ISERROR(I94/B94),"",I94/B94)</f>
        <v>0.5</v>
      </c>
      <c r="I94" s="10">
        <f t="shared" ref="I94:I104" si="32">B94-G94</f>
        <v>12500</v>
      </c>
      <c r="J94" s="88" t="s">
        <v>70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27" t="s">
        <v>71</v>
      </c>
      <c r="B95" s="29">
        <v>-20000.0</v>
      </c>
      <c r="C95" s="85"/>
      <c r="D95" s="29"/>
      <c r="E95" s="29"/>
      <c r="F95" s="86">
        <f t="shared" si="29"/>
        <v>0.5</v>
      </c>
      <c r="G95" s="29">
        <f t="shared" si="30"/>
        <v>-10000</v>
      </c>
      <c r="H95" s="86">
        <f t="shared" si="31"/>
        <v>0.5</v>
      </c>
      <c r="I95" s="29">
        <f t="shared" si="32"/>
        <v>-10000</v>
      </c>
      <c r="J95" s="87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65" t="s">
        <v>72</v>
      </c>
      <c r="B96" s="10">
        <v>17000.0</v>
      </c>
      <c r="C96" s="83"/>
      <c r="D96" s="10"/>
      <c r="E96" s="10"/>
      <c r="F96" s="84">
        <f t="shared" si="29"/>
        <v>0.5</v>
      </c>
      <c r="G96" s="10">
        <f t="shared" si="30"/>
        <v>8500</v>
      </c>
      <c r="H96" s="84">
        <f t="shared" si="31"/>
        <v>0.5</v>
      </c>
      <c r="I96" s="10">
        <f t="shared" si="32"/>
        <v>8500</v>
      </c>
      <c r="J96" s="88" t="s">
        <v>70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27" t="s">
        <v>73</v>
      </c>
      <c r="B97" s="29">
        <v>-11000.0</v>
      </c>
      <c r="C97" s="85"/>
      <c r="D97" s="29"/>
      <c r="E97" s="29"/>
      <c r="F97" s="86">
        <f t="shared" si="29"/>
        <v>0.5</v>
      </c>
      <c r="G97" s="29">
        <f t="shared" si="30"/>
        <v>-5500</v>
      </c>
      <c r="H97" s="86">
        <f t="shared" si="31"/>
        <v>0.5</v>
      </c>
      <c r="I97" s="29">
        <f t="shared" si="32"/>
        <v>-5500</v>
      </c>
      <c r="J97" s="87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65"/>
      <c r="B98" s="10"/>
      <c r="C98" s="83"/>
      <c r="D98" s="10"/>
      <c r="E98" s="10"/>
      <c r="F98" s="84" t="str">
        <f t="shared" si="29"/>
        <v/>
      </c>
      <c r="G98" s="10">
        <f t="shared" si="30"/>
        <v>0</v>
      </c>
      <c r="H98" s="84" t="str">
        <f t="shared" si="31"/>
        <v/>
      </c>
      <c r="I98" s="10">
        <f t="shared" si="32"/>
        <v>0</v>
      </c>
      <c r="J98" s="88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27"/>
      <c r="B99" s="29"/>
      <c r="C99" s="85"/>
      <c r="D99" s="29"/>
      <c r="E99" s="29"/>
      <c r="F99" s="86" t="str">
        <f t="shared" si="29"/>
        <v/>
      </c>
      <c r="G99" s="29">
        <f t="shared" si="30"/>
        <v>0</v>
      </c>
      <c r="H99" s="86" t="str">
        <f t="shared" si="31"/>
        <v/>
      </c>
      <c r="I99" s="29">
        <f t="shared" si="32"/>
        <v>0</v>
      </c>
      <c r="J99" s="87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65"/>
      <c r="B100" s="10"/>
      <c r="C100" s="83"/>
      <c r="D100" s="10"/>
      <c r="E100" s="10"/>
      <c r="F100" s="84" t="str">
        <f t="shared" si="29"/>
        <v/>
      </c>
      <c r="G100" s="10">
        <f t="shared" si="30"/>
        <v>0</v>
      </c>
      <c r="H100" s="84" t="str">
        <f t="shared" si="31"/>
        <v/>
      </c>
      <c r="I100" s="10">
        <f t="shared" si="32"/>
        <v>0</v>
      </c>
      <c r="J100" s="88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27"/>
      <c r="B101" s="29"/>
      <c r="C101" s="85"/>
      <c r="D101" s="29"/>
      <c r="E101" s="29"/>
      <c r="F101" s="86" t="str">
        <f t="shared" si="29"/>
        <v/>
      </c>
      <c r="G101" s="29">
        <f t="shared" si="30"/>
        <v>0</v>
      </c>
      <c r="H101" s="86" t="str">
        <f t="shared" si="31"/>
        <v/>
      </c>
      <c r="I101" s="29">
        <f t="shared" si="32"/>
        <v>0</v>
      </c>
      <c r="J101" s="87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65"/>
      <c r="B102" s="10"/>
      <c r="C102" s="83"/>
      <c r="D102" s="10"/>
      <c r="E102" s="10"/>
      <c r="F102" s="84" t="str">
        <f t="shared" si="29"/>
        <v/>
      </c>
      <c r="G102" s="10">
        <f t="shared" si="30"/>
        <v>0</v>
      </c>
      <c r="H102" s="84" t="str">
        <f t="shared" si="31"/>
        <v/>
      </c>
      <c r="I102" s="10">
        <f t="shared" si="32"/>
        <v>0</v>
      </c>
      <c r="J102" s="88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27"/>
      <c r="B103" s="29"/>
      <c r="C103" s="85"/>
      <c r="D103" s="29"/>
      <c r="E103" s="29"/>
      <c r="F103" s="86" t="str">
        <f t="shared" si="29"/>
        <v/>
      </c>
      <c r="G103" s="29">
        <f t="shared" si="30"/>
        <v>0</v>
      </c>
      <c r="H103" s="86" t="str">
        <f t="shared" si="31"/>
        <v/>
      </c>
      <c r="I103" s="29">
        <f t="shared" si="32"/>
        <v>0</v>
      </c>
      <c r="J103" s="87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65"/>
      <c r="B104" s="10"/>
      <c r="C104" s="83"/>
      <c r="D104" s="10"/>
      <c r="E104" s="10"/>
      <c r="F104" s="84" t="str">
        <f t="shared" si="29"/>
        <v/>
      </c>
      <c r="G104" s="10">
        <f t="shared" si="30"/>
        <v>0</v>
      </c>
      <c r="H104" s="84" t="str">
        <f t="shared" si="31"/>
        <v/>
      </c>
      <c r="I104" s="10">
        <f t="shared" si="32"/>
        <v>0</v>
      </c>
      <c r="J104" s="88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2.5" customHeight="1">
      <c r="A105" s="48" t="s">
        <v>15</v>
      </c>
      <c r="B105" s="89"/>
      <c r="C105" s="90"/>
      <c r="D105" s="91"/>
      <c r="E105" s="91"/>
      <c r="F105" s="92"/>
      <c r="G105" s="89"/>
      <c r="H105" s="92"/>
      <c r="I105" s="89"/>
      <c r="J105" s="8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65" t="s">
        <v>74</v>
      </c>
      <c r="B106" s="10">
        <v>-7577.0</v>
      </c>
      <c r="C106" s="83"/>
      <c r="D106" s="10">
        <v>0.0</v>
      </c>
      <c r="E106" s="10">
        <v>0.0</v>
      </c>
      <c r="F106" s="84">
        <f t="shared" ref="F106:F124" si="33">IF(ISERROR(G106/B106),"",G106/B106)</f>
        <v>0.5</v>
      </c>
      <c r="G106" s="10">
        <f t="shared" ref="G106:G124" si="34">B106*0.5</f>
        <v>-3788.5</v>
      </c>
      <c r="H106" s="84">
        <f t="shared" ref="H106:H124" si="35">IF(ISERROR(I106/B106),"",I106/B106)</f>
        <v>0.5</v>
      </c>
      <c r="I106" s="10">
        <f t="shared" ref="I106:I124" si="36">B106-G106</f>
        <v>-3788.5</v>
      </c>
      <c r="J106" s="88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27" t="s">
        <v>75</v>
      </c>
      <c r="B107" s="29">
        <v>-10111.0</v>
      </c>
      <c r="C107" s="85"/>
      <c r="D107" s="29"/>
      <c r="E107" s="29"/>
      <c r="F107" s="86">
        <f t="shared" si="33"/>
        <v>0.5</v>
      </c>
      <c r="G107" s="29">
        <f t="shared" si="34"/>
        <v>-5055.5</v>
      </c>
      <c r="H107" s="86">
        <f t="shared" si="35"/>
        <v>0.5</v>
      </c>
      <c r="I107" s="29">
        <f t="shared" si="36"/>
        <v>-5055.5</v>
      </c>
      <c r="J107" s="87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65" t="s">
        <v>76</v>
      </c>
      <c r="B108" s="10">
        <v>-12123.0</v>
      </c>
      <c r="C108" s="83"/>
      <c r="D108" s="10"/>
      <c r="E108" s="10"/>
      <c r="F108" s="84">
        <f t="shared" si="33"/>
        <v>0.5</v>
      </c>
      <c r="G108" s="10">
        <f t="shared" si="34"/>
        <v>-6061.5</v>
      </c>
      <c r="H108" s="84">
        <f t="shared" si="35"/>
        <v>0.5</v>
      </c>
      <c r="I108" s="10">
        <f t="shared" si="36"/>
        <v>-6061.5</v>
      </c>
      <c r="J108" s="88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27"/>
      <c r="B109" s="29"/>
      <c r="C109" s="85"/>
      <c r="D109" s="29"/>
      <c r="E109" s="29"/>
      <c r="F109" s="86" t="str">
        <f t="shared" si="33"/>
        <v/>
      </c>
      <c r="G109" s="29">
        <f t="shared" si="34"/>
        <v>0</v>
      </c>
      <c r="H109" s="86" t="str">
        <f t="shared" si="35"/>
        <v/>
      </c>
      <c r="I109" s="29">
        <f t="shared" si="36"/>
        <v>0</v>
      </c>
      <c r="J109" s="87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65"/>
      <c r="B110" s="10"/>
      <c r="C110" s="83"/>
      <c r="D110" s="10"/>
      <c r="E110" s="10"/>
      <c r="F110" s="84" t="str">
        <f t="shared" si="33"/>
        <v/>
      </c>
      <c r="G110" s="10">
        <f t="shared" si="34"/>
        <v>0</v>
      </c>
      <c r="H110" s="84" t="str">
        <f t="shared" si="35"/>
        <v/>
      </c>
      <c r="I110" s="10">
        <f t="shared" si="36"/>
        <v>0</v>
      </c>
      <c r="J110" s="88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27"/>
      <c r="B111" s="29"/>
      <c r="C111" s="85"/>
      <c r="D111" s="29"/>
      <c r="E111" s="29"/>
      <c r="F111" s="86" t="str">
        <f t="shared" si="33"/>
        <v/>
      </c>
      <c r="G111" s="29">
        <f t="shared" si="34"/>
        <v>0</v>
      </c>
      <c r="H111" s="86" t="str">
        <f t="shared" si="35"/>
        <v/>
      </c>
      <c r="I111" s="29">
        <f t="shared" si="36"/>
        <v>0</v>
      </c>
      <c r="J111" s="87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65"/>
      <c r="B112" s="10"/>
      <c r="C112" s="83"/>
      <c r="D112" s="10"/>
      <c r="E112" s="10"/>
      <c r="F112" s="84" t="str">
        <f t="shared" si="33"/>
        <v/>
      </c>
      <c r="G112" s="10">
        <f t="shared" si="34"/>
        <v>0</v>
      </c>
      <c r="H112" s="84" t="str">
        <f t="shared" si="35"/>
        <v/>
      </c>
      <c r="I112" s="10">
        <f t="shared" si="36"/>
        <v>0</v>
      </c>
      <c r="J112" s="88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27"/>
      <c r="B113" s="29"/>
      <c r="C113" s="85"/>
      <c r="D113" s="29"/>
      <c r="E113" s="29"/>
      <c r="F113" s="86" t="str">
        <f t="shared" si="33"/>
        <v/>
      </c>
      <c r="G113" s="29">
        <f t="shared" si="34"/>
        <v>0</v>
      </c>
      <c r="H113" s="86" t="str">
        <f t="shared" si="35"/>
        <v/>
      </c>
      <c r="I113" s="29">
        <f t="shared" si="36"/>
        <v>0</v>
      </c>
      <c r="J113" s="87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65"/>
      <c r="B114" s="10"/>
      <c r="C114" s="83"/>
      <c r="D114" s="10"/>
      <c r="E114" s="10"/>
      <c r="F114" s="84" t="str">
        <f t="shared" si="33"/>
        <v/>
      </c>
      <c r="G114" s="10">
        <f t="shared" si="34"/>
        <v>0</v>
      </c>
      <c r="H114" s="84" t="str">
        <f t="shared" si="35"/>
        <v/>
      </c>
      <c r="I114" s="10">
        <f t="shared" si="36"/>
        <v>0</v>
      </c>
      <c r="J114" s="88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27"/>
      <c r="B115" s="29"/>
      <c r="C115" s="85"/>
      <c r="D115" s="29"/>
      <c r="E115" s="29"/>
      <c r="F115" s="86" t="str">
        <f t="shared" si="33"/>
        <v/>
      </c>
      <c r="G115" s="29">
        <f t="shared" si="34"/>
        <v>0</v>
      </c>
      <c r="H115" s="86" t="str">
        <f t="shared" si="35"/>
        <v/>
      </c>
      <c r="I115" s="29">
        <f t="shared" si="36"/>
        <v>0</v>
      </c>
      <c r="J115" s="87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65"/>
      <c r="B116" s="10"/>
      <c r="C116" s="83"/>
      <c r="D116" s="10"/>
      <c r="E116" s="10"/>
      <c r="F116" s="84" t="str">
        <f t="shared" si="33"/>
        <v/>
      </c>
      <c r="G116" s="10">
        <f t="shared" si="34"/>
        <v>0</v>
      </c>
      <c r="H116" s="84" t="str">
        <f t="shared" si="35"/>
        <v/>
      </c>
      <c r="I116" s="10">
        <f t="shared" si="36"/>
        <v>0</v>
      </c>
      <c r="J116" s="88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27"/>
      <c r="B117" s="29"/>
      <c r="C117" s="85"/>
      <c r="D117" s="29"/>
      <c r="E117" s="29"/>
      <c r="F117" s="86" t="str">
        <f t="shared" si="33"/>
        <v/>
      </c>
      <c r="G117" s="29">
        <f t="shared" si="34"/>
        <v>0</v>
      </c>
      <c r="H117" s="86" t="str">
        <f t="shared" si="35"/>
        <v/>
      </c>
      <c r="I117" s="29">
        <f t="shared" si="36"/>
        <v>0</v>
      </c>
      <c r="J117" s="87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65"/>
      <c r="B118" s="10"/>
      <c r="C118" s="83"/>
      <c r="D118" s="10"/>
      <c r="E118" s="10"/>
      <c r="F118" s="84" t="str">
        <f t="shared" si="33"/>
        <v/>
      </c>
      <c r="G118" s="10">
        <f t="shared" si="34"/>
        <v>0</v>
      </c>
      <c r="H118" s="84" t="str">
        <f t="shared" si="35"/>
        <v/>
      </c>
      <c r="I118" s="10">
        <f t="shared" si="36"/>
        <v>0</v>
      </c>
      <c r="J118" s="88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27"/>
      <c r="B119" s="29"/>
      <c r="C119" s="85"/>
      <c r="D119" s="29"/>
      <c r="E119" s="29"/>
      <c r="F119" s="86" t="str">
        <f t="shared" si="33"/>
        <v/>
      </c>
      <c r="G119" s="29">
        <f t="shared" si="34"/>
        <v>0</v>
      </c>
      <c r="H119" s="86" t="str">
        <f t="shared" si="35"/>
        <v/>
      </c>
      <c r="I119" s="29">
        <f t="shared" si="36"/>
        <v>0</v>
      </c>
      <c r="J119" s="87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65"/>
      <c r="B120" s="10"/>
      <c r="C120" s="83"/>
      <c r="D120" s="10"/>
      <c r="E120" s="10"/>
      <c r="F120" s="84" t="str">
        <f t="shared" si="33"/>
        <v/>
      </c>
      <c r="G120" s="10">
        <f t="shared" si="34"/>
        <v>0</v>
      </c>
      <c r="H120" s="84" t="str">
        <f t="shared" si="35"/>
        <v/>
      </c>
      <c r="I120" s="10">
        <f t="shared" si="36"/>
        <v>0</v>
      </c>
      <c r="J120" s="88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27"/>
      <c r="B121" s="29"/>
      <c r="C121" s="85"/>
      <c r="D121" s="29"/>
      <c r="E121" s="29"/>
      <c r="F121" s="86" t="str">
        <f t="shared" si="33"/>
        <v/>
      </c>
      <c r="G121" s="29">
        <f t="shared" si="34"/>
        <v>0</v>
      </c>
      <c r="H121" s="86" t="str">
        <f t="shared" si="35"/>
        <v/>
      </c>
      <c r="I121" s="29">
        <f t="shared" si="36"/>
        <v>0</v>
      </c>
      <c r="J121" s="87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65"/>
      <c r="B122" s="10"/>
      <c r="C122" s="83"/>
      <c r="D122" s="10"/>
      <c r="E122" s="10"/>
      <c r="F122" s="84" t="str">
        <f t="shared" si="33"/>
        <v/>
      </c>
      <c r="G122" s="10">
        <f t="shared" si="34"/>
        <v>0</v>
      </c>
      <c r="H122" s="84" t="str">
        <f t="shared" si="35"/>
        <v/>
      </c>
      <c r="I122" s="10">
        <f t="shared" si="36"/>
        <v>0</v>
      </c>
      <c r="J122" s="88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27"/>
      <c r="B123" s="29"/>
      <c r="C123" s="85"/>
      <c r="D123" s="29"/>
      <c r="E123" s="29"/>
      <c r="F123" s="86" t="str">
        <f t="shared" si="33"/>
        <v/>
      </c>
      <c r="G123" s="29">
        <f t="shared" si="34"/>
        <v>0</v>
      </c>
      <c r="H123" s="86" t="str">
        <f t="shared" si="35"/>
        <v/>
      </c>
      <c r="I123" s="29">
        <f t="shared" si="36"/>
        <v>0</v>
      </c>
      <c r="J123" s="87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65"/>
      <c r="B124" s="10"/>
      <c r="C124" s="83"/>
      <c r="D124" s="10"/>
      <c r="E124" s="10"/>
      <c r="F124" s="84" t="str">
        <f t="shared" si="33"/>
        <v/>
      </c>
      <c r="G124" s="10">
        <f t="shared" si="34"/>
        <v>0</v>
      </c>
      <c r="H124" s="84" t="str">
        <f t="shared" si="35"/>
        <v/>
      </c>
      <c r="I124" s="10">
        <f t="shared" si="36"/>
        <v>0</v>
      </c>
      <c r="J124" s="88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2.5" customHeight="1">
      <c r="A125" s="103" t="s">
        <v>16</v>
      </c>
      <c r="B125" s="89"/>
      <c r="C125" s="90"/>
      <c r="D125" s="91"/>
      <c r="E125" s="91"/>
      <c r="F125" s="92"/>
      <c r="G125" s="89"/>
      <c r="H125" s="92"/>
      <c r="I125" s="89"/>
      <c r="J125" s="8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65"/>
      <c r="B126" s="10">
        <v>50000.0</v>
      </c>
      <c r="C126" s="83"/>
      <c r="D126" s="10">
        <v>0.0</v>
      </c>
      <c r="E126" s="10">
        <v>0.0</v>
      </c>
      <c r="F126" s="84">
        <f t="shared" ref="F126:F131" si="37">IF(ISERROR(G126/B126),"",G126/B126)</f>
        <v>0.5</v>
      </c>
      <c r="G126" s="10">
        <f t="shared" ref="G126:G131" si="38">B126*0.5</f>
        <v>25000</v>
      </c>
      <c r="H126" s="84">
        <f t="shared" ref="H126:H131" si="39">IF(ISERROR(I126/B126),"",I126/B126)</f>
        <v>0.5</v>
      </c>
      <c r="I126" s="10">
        <f t="shared" ref="I126:I131" si="40">B126-G126</f>
        <v>25000</v>
      </c>
      <c r="J126" s="88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27"/>
      <c r="B127" s="29">
        <v>25000.0</v>
      </c>
      <c r="C127" s="85"/>
      <c r="D127" s="29"/>
      <c r="E127" s="29"/>
      <c r="F127" s="86">
        <f t="shared" si="37"/>
        <v>0.5</v>
      </c>
      <c r="G127" s="29">
        <f t="shared" si="38"/>
        <v>12500</v>
      </c>
      <c r="H127" s="86">
        <f t="shared" si="39"/>
        <v>0.5</v>
      </c>
      <c r="I127" s="29">
        <f t="shared" si="40"/>
        <v>12500</v>
      </c>
      <c r="J127" s="87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65"/>
      <c r="B128" s="10">
        <v>10000.0</v>
      </c>
      <c r="C128" s="83"/>
      <c r="D128" s="10"/>
      <c r="E128" s="10"/>
      <c r="F128" s="84">
        <f t="shared" si="37"/>
        <v>0.5</v>
      </c>
      <c r="G128" s="10">
        <f t="shared" si="38"/>
        <v>5000</v>
      </c>
      <c r="H128" s="84">
        <f t="shared" si="39"/>
        <v>0.5</v>
      </c>
      <c r="I128" s="10">
        <f t="shared" si="40"/>
        <v>5000</v>
      </c>
      <c r="J128" s="88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27"/>
      <c r="B129" s="29"/>
      <c r="C129" s="85"/>
      <c r="D129" s="29"/>
      <c r="E129" s="29"/>
      <c r="F129" s="86" t="str">
        <f t="shared" si="37"/>
        <v/>
      </c>
      <c r="G129" s="29">
        <f t="shared" si="38"/>
        <v>0</v>
      </c>
      <c r="H129" s="86" t="str">
        <f t="shared" si="39"/>
        <v/>
      </c>
      <c r="I129" s="29">
        <f t="shared" si="40"/>
        <v>0</v>
      </c>
      <c r="J129" s="87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65"/>
      <c r="B130" s="10"/>
      <c r="C130" s="83"/>
      <c r="D130" s="10"/>
      <c r="E130" s="10"/>
      <c r="F130" s="84" t="str">
        <f t="shared" si="37"/>
        <v/>
      </c>
      <c r="G130" s="10">
        <f t="shared" si="38"/>
        <v>0</v>
      </c>
      <c r="H130" s="84" t="str">
        <f t="shared" si="39"/>
        <v/>
      </c>
      <c r="I130" s="10">
        <f t="shared" si="40"/>
        <v>0</v>
      </c>
      <c r="J130" s="88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27"/>
      <c r="B131" s="29"/>
      <c r="C131" s="85"/>
      <c r="D131" s="29"/>
      <c r="E131" s="29"/>
      <c r="F131" s="86" t="str">
        <f t="shared" si="37"/>
        <v/>
      </c>
      <c r="G131" s="29">
        <f t="shared" si="38"/>
        <v>0</v>
      </c>
      <c r="H131" s="86" t="str">
        <f t="shared" si="39"/>
        <v/>
      </c>
      <c r="I131" s="29">
        <f t="shared" si="40"/>
        <v>0</v>
      </c>
      <c r="J131" s="87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2.5" customHeight="1">
      <c r="A132" s="103" t="s">
        <v>77</v>
      </c>
      <c r="B132" s="89"/>
      <c r="C132" s="90"/>
      <c r="D132" s="91"/>
      <c r="E132" s="91"/>
      <c r="F132" s="92"/>
      <c r="G132" s="89"/>
      <c r="H132" s="92"/>
      <c r="I132" s="89"/>
      <c r="J132" s="8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65" t="s">
        <v>78</v>
      </c>
      <c r="B133" s="10">
        <v>-15000.0</v>
      </c>
      <c r="C133" s="83"/>
      <c r="D133" s="10">
        <v>0.0</v>
      </c>
      <c r="E133" s="10">
        <v>0.0</v>
      </c>
      <c r="F133" s="84">
        <f t="shared" ref="F133:F150" si="41">IF(ISERROR(G133/B133),"",G133/B133)</f>
        <v>0.5</v>
      </c>
      <c r="G133" s="10">
        <f t="shared" ref="G133:G150" si="42">B133*0.5</f>
        <v>-7500</v>
      </c>
      <c r="H133" s="84">
        <f t="shared" ref="H133:H150" si="43">IF(ISERROR(I133/B133),"",I133/B133)</f>
        <v>0.5</v>
      </c>
      <c r="I133" s="10">
        <f t="shared" ref="I133:I150" si="44">B133-G133</f>
        <v>-7500</v>
      </c>
      <c r="J133" s="88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27" t="s">
        <v>79</v>
      </c>
      <c r="B134" s="29">
        <v>11000.0</v>
      </c>
      <c r="C134" s="85"/>
      <c r="D134" s="29"/>
      <c r="E134" s="29"/>
      <c r="F134" s="86">
        <f t="shared" si="41"/>
        <v>0.5</v>
      </c>
      <c r="G134" s="29">
        <f t="shared" si="42"/>
        <v>5500</v>
      </c>
      <c r="H134" s="86">
        <f t="shared" si="43"/>
        <v>0.5</v>
      </c>
      <c r="I134" s="29">
        <f t="shared" si="44"/>
        <v>5500</v>
      </c>
      <c r="J134" s="87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65" t="s">
        <v>80</v>
      </c>
      <c r="B135" s="10">
        <v>32000.0</v>
      </c>
      <c r="C135" s="83"/>
      <c r="D135" s="10"/>
      <c r="E135" s="10"/>
      <c r="F135" s="84">
        <f t="shared" si="41"/>
        <v>0.5</v>
      </c>
      <c r="G135" s="10">
        <f t="shared" si="42"/>
        <v>16000</v>
      </c>
      <c r="H135" s="84">
        <f t="shared" si="43"/>
        <v>0.5</v>
      </c>
      <c r="I135" s="10">
        <f t="shared" si="44"/>
        <v>16000</v>
      </c>
      <c r="J135" s="88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27" t="s">
        <v>81</v>
      </c>
      <c r="B136" s="29">
        <v>10000.0</v>
      </c>
      <c r="C136" s="85"/>
      <c r="D136" s="29"/>
      <c r="E136" s="29"/>
      <c r="F136" s="86">
        <f t="shared" si="41"/>
        <v>0.5</v>
      </c>
      <c r="G136" s="29">
        <f t="shared" si="42"/>
        <v>5000</v>
      </c>
      <c r="H136" s="86">
        <f t="shared" si="43"/>
        <v>0.5</v>
      </c>
      <c r="I136" s="29">
        <f t="shared" si="44"/>
        <v>5000</v>
      </c>
      <c r="J136" s="87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65"/>
      <c r="B137" s="10"/>
      <c r="C137" s="83"/>
      <c r="D137" s="10"/>
      <c r="E137" s="10"/>
      <c r="F137" s="84" t="str">
        <f t="shared" si="41"/>
        <v/>
      </c>
      <c r="G137" s="10">
        <f t="shared" si="42"/>
        <v>0</v>
      </c>
      <c r="H137" s="84" t="str">
        <f t="shared" si="43"/>
        <v/>
      </c>
      <c r="I137" s="10">
        <f t="shared" si="44"/>
        <v>0</v>
      </c>
      <c r="J137" s="88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27"/>
      <c r="B138" s="29"/>
      <c r="C138" s="85"/>
      <c r="D138" s="29"/>
      <c r="E138" s="29"/>
      <c r="F138" s="86" t="str">
        <f t="shared" si="41"/>
        <v/>
      </c>
      <c r="G138" s="29">
        <f t="shared" si="42"/>
        <v>0</v>
      </c>
      <c r="H138" s="86" t="str">
        <f t="shared" si="43"/>
        <v/>
      </c>
      <c r="I138" s="29">
        <f t="shared" si="44"/>
        <v>0</v>
      </c>
      <c r="J138" s="87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65"/>
      <c r="B139" s="10"/>
      <c r="C139" s="83"/>
      <c r="D139" s="10"/>
      <c r="E139" s="10"/>
      <c r="F139" s="84" t="str">
        <f t="shared" si="41"/>
        <v/>
      </c>
      <c r="G139" s="10">
        <f t="shared" si="42"/>
        <v>0</v>
      </c>
      <c r="H139" s="84" t="str">
        <f t="shared" si="43"/>
        <v/>
      </c>
      <c r="I139" s="10">
        <f t="shared" si="44"/>
        <v>0</v>
      </c>
      <c r="J139" s="88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27"/>
      <c r="B140" s="29"/>
      <c r="C140" s="85"/>
      <c r="D140" s="29"/>
      <c r="E140" s="29"/>
      <c r="F140" s="86" t="str">
        <f t="shared" si="41"/>
        <v/>
      </c>
      <c r="G140" s="29">
        <f t="shared" si="42"/>
        <v>0</v>
      </c>
      <c r="H140" s="86" t="str">
        <f t="shared" si="43"/>
        <v/>
      </c>
      <c r="I140" s="29">
        <f t="shared" si="44"/>
        <v>0</v>
      </c>
      <c r="J140" s="87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65"/>
      <c r="B141" s="10"/>
      <c r="C141" s="83"/>
      <c r="D141" s="10"/>
      <c r="E141" s="10"/>
      <c r="F141" s="84" t="str">
        <f t="shared" si="41"/>
        <v/>
      </c>
      <c r="G141" s="10">
        <f t="shared" si="42"/>
        <v>0</v>
      </c>
      <c r="H141" s="84" t="str">
        <f t="shared" si="43"/>
        <v/>
      </c>
      <c r="I141" s="10">
        <f t="shared" si="44"/>
        <v>0</v>
      </c>
      <c r="J141" s="88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27"/>
      <c r="B142" s="29"/>
      <c r="C142" s="85"/>
      <c r="D142" s="29"/>
      <c r="E142" s="29"/>
      <c r="F142" s="86" t="str">
        <f t="shared" si="41"/>
        <v/>
      </c>
      <c r="G142" s="29">
        <f t="shared" si="42"/>
        <v>0</v>
      </c>
      <c r="H142" s="86" t="str">
        <f t="shared" si="43"/>
        <v/>
      </c>
      <c r="I142" s="29">
        <f t="shared" si="44"/>
        <v>0</v>
      </c>
      <c r="J142" s="87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65"/>
      <c r="B143" s="10"/>
      <c r="C143" s="83"/>
      <c r="D143" s="10"/>
      <c r="E143" s="10"/>
      <c r="F143" s="84" t="str">
        <f t="shared" si="41"/>
        <v/>
      </c>
      <c r="G143" s="10">
        <f t="shared" si="42"/>
        <v>0</v>
      </c>
      <c r="H143" s="84" t="str">
        <f t="shared" si="43"/>
        <v/>
      </c>
      <c r="I143" s="10">
        <f t="shared" si="44"/>
        <v>0</v>
      </c>
      <c r="J143" s="88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27"/>
      <c r="B144" s="29"/>
      <c r="C144" s="85"/>
      <c r="D144" s="29"/>
      <c r="E144" s="29"/>
      <c r="F144" s="86" t="str">
        <f t="shared" si="41"/>
        <v/>
      </c>
      <c r="G144" s="29">
        <f t="shared" si="42"/>
        <v>0</v>
      </c>
      <c r="H144" s="86" t="str">
        <f t="shared" si="43"/>
        <v/>
      </c>
      <c r="I144" s="29">
        <f t="shared" si="44"/>
        <v>0</v>
      </c>
      <c r="J144" s="87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65"/>
      <c r="B145" s="10"/>
      <c r="C145" s="83"/>
      <c r="D145" s="10"/>
      <c r="E145" s="10"/>
      <c r="F145" s="84" t="str">
        <f t="shared" si="41"/>
        <v/>
      </c>
      <c r="G145" s="10">
        <f t="shared" si="42"/>
        <v>0</v>
      </c>
      <c r="H145" s="84" t="str">
        <f t="shared" si="43"/>
        <v/>
      </c>
      <c r="I145" s="10">
        <f t="shared" si="44"/>
        <v>0</v>
      </c>
      <c r="J145" s="88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27"/>
      <c r="B146" s="29"/>
      <c r="C146" s="85"/>
      <c r="D146" s="29"/>
      <c r="E146" s="29"/>
      <c r="F146" s="86" t="str">
        <f t="shared" si="41"/>
        <v/>
      </c>
      <c r="G146" s="29">
        <f t="shared" si="42"/>
        <v>0</v>
      </c>
      <c r="H146" s="86" t="str">
        <f t="shared" si="43"/>
        <v/>
      </c>
      <c r="I146" s="29">
        <f t="shared" si="44"/>
        <v>0</v>
      </c>
      <c r="J146" s="87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65"/>
      <c r="B147" s="10"/>
      <c r="C147" s="83"/>
      <c r="D147" s="10"/>
      <c r="E147" s="10"/>
      <c r="F147" s="84" t="str">
        <f t="shared" si="41"/>
        <v/>
      </c>
      <c r="G147" s="10">
        <f t="shared" si="42"/>
        <v>0</v>
      </c>
      <c r="H147" s="84" t="str">
        <f t="shared" si="43"/>
        <v/>
      </c>
      <c r="I147" s="10">
        <f t="shared" si="44"/>
        <v>0</v>
      </c>
      <c r="J147" s="88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27"/>
      <c r="B148" s="29"/>
      <c r="C148" s="85"/>
      <c r="D148" s="29"/>
      <c r="E148" s="29"/>
      <c r="F148" s="86" t="str">
        <f t="shared" si="41"/>
        <v/>
      </c>
      <c r="G148" s="29">
        <f t="shared" si="42"/>
        <v>0</v>
      </c>
      <c r="H148" s="86" t="str">
        <f t="shared" si="43"/>
        <v/>
      </c>
      <c r="I148" s="29">
        <f t="shared" si="44"/>
        <v>0</v>
      </c>
      <c r="J148" s="87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65"/>
      <c r="B149" s="10"/>
      <c r="C149" s="83"/>
      <c r="D149" s="10"/>
      <c r="E149" s="10"/>
      <c r="F149" s="84" t="str">
        <f t="shared" si="41"/>
        <v/>
      </c>
      <c r="G149" s="10">
        <f t="shared" si="42"/>
        <v>0</v>
      </c>
      <c r="H149" s="84" t="str">
        <f t="shared" si="43"/>
        <v/>
      </c>
      <c r="I149" s="10">
        <f t="shared" si="44"/>
        <v>0</v>
      </c>
      <c r="J149" s="88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27"/>
      <c r="B150" s="29"/>
      <c r="C150" s="85"/>
      <c r="D150" s="29"/>
      <c r="E150" s="29"/>
      <c r="F150" s="86" t="str">
        <f t="shared" si="41"/>
        <v/>
      </c>
      <c r="G150" s="29">
        <f t="shared" si="42"/>
        <v>0</v>
      </c>
      <c r="H150" s="86" t="str">
        <f t="shared" si="43"/>
        <v/>
      </c>
      <c r="I150" s="29">
        <f t="shared" si="44"/>
        <v>0</v>
      </c>
      <c r="J150" s="87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2.5" customHeight="1">
      <c r="A151" s="103" t="s">
        <v>18</v>
      </c>
      <c r="B151" s="89"/>
      <c r="C151" s="90"/>
      <c r="D151" s="91"/>
      <c r="E151" s="91"/>
      <c r="F151" s="92"/>
      <c r="G151" s="89"/>
      <c r="H151" s="92"/>
      <c r="I151" s="89"/>
      <c r="J151" s="8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65"/>
      <c r="B152" s="10">
        <v>-35000.0</v>
      </c>
      <c r="C152" s="83"/>
      <c r="D152" s="10">
        <v>0.0</v>
      </c>
      <c r="E152" s="10">
        <v>0.0</v>
      </c>
      <c r="F152" s="84">
        <f t="shared" ref="F152:F155" si="45">IF(ISERROR(G152/B152),"",G152/B152)</f>
        <v>0.5</v>
      </c>
      <c r="G152" s="10">
        <f t="shared" ref="G152:G155" si="46">B152*0.5</f>
        <v>-17500</v>
      </c>
      <c r="H152" s="84">
        <f t="shared" ref="H152:H155" si="47">IF(ISERROR(I152/B152),"",I152/B152)</f>
        <v>0.5</v>
      </c>
      <c r="I152" s="10">
        <f t="shared" ref="I152:I155" si="48">B152-G152</f>
        <v>-17500</v>
      </c>
      <c r="J152" s="88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27"/>
      <c r="B153" s="29">
        <v>4555.21</v>
      </c>
      <c r="C153" s="85"/>
      <c r="D153" s="29"/>
      <c r="E153" s="29"/>
      <c r="F153" s="86">
        <f t="shared" si="45"/>
        <v>0.5</v>
      </c>
      <c r="G153" s="29">
        <f t="shared" si="46"/>
        <v>2277.605</v>
      </c>
      <c r="H153" s="86">
        <f t="shared" si="47"/>
        <v>0.5</v>
      </c>
      <c r="I153" s="29">
        <f t="shared" si="48"/>
        <v>2277.605</v>
      </c>
      <c r="J153" s="87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65"/>
      <c r="B154" s="10"/>
      <c r="C154" s="83"/>
      <c r="D154" s="10"/>
      <c r="E154" s="10"/>
      <c r="F154" s="84" t="str">
        <f t="shared" si="45"/>
        <v/>
      </c>
      <c r="G154" s="10">
        <f t="shared" si="46"/>
        <v>0</v>
      </c>
      <c r="H154" s="84" t="str">
        <f t="shared" si="47"/>
        <v/>
      </c>
      <c r="I154" s="10">
        <f t="shared" si="48"/>
        <v>0</v>
      </c>
      <c r="J154" s="88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27"/>
      <c r="B155" s="29"/>
      <c r="C155" s="85"/>
      <c r="D155" s="29"/>
      <c r="E155" s="29"/>
      <c r="F155" s="86" t="str">
        <f t="shared" si="45"/>
        <v/>
      </c>
      <c r="G155" s="29">
        <f t="shared" si="46"/>
        <v>0</v>
      </c>
      <c r="H155" s="86" t="str">
        <f t="shared" si="47"/>
        <v/>
      </c>
      <c r="I155" s="29">
        <f t="shared" si="48"/>
        <v>0</v>
      </c>
      <c r="J155" s="87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2.5" customHeight="1">
      <c r="A156" s="103" t="s">
        <v>19</v>
      </c>
      <c r="B156" s="89"/>
      <c r="C156" s="90"/>
      <c r="D156" s="91"/>
      <c r="E156" s="91"/>
      <c r="F156" s="92"/>
      <c r="G156" s="89"/>
      <c r="H156" s="92"/>
      <c r="I156" s="89"/>
      <c r="J156" s="8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65" t="s">
        <v>82</v>
      </c>
      <c r="B157" s="10">
        <v>-45555.0</v>
      </c>
      <c r="C157" s="83"/>
      <c r="D157" s="10">
        <v>0.0</v>
      </c>
      <c r="E157" s="10">
        <v>0.0</v>
      </c>
      <c r="F157" s="84">
        <f t="shared" ref="F157:F163" si="49">IF(ISERROR(G157/B157),"",G157/B157)</f>
        <v>0.5</v>
      </c>
      <c r="G157" s="10">
        <f t="shared" ref="G157:G163" si="50">B157*0.5</f>
        <v>-22777.5</v>
      </c>
      <c r="H157" s="84">
        <f t="shared" ref="H157:H163" si="51">IF(ISERROR(I157/B157),"",I157/B157)</f>
        <v>0.5</v>
      </c>
      <c r="I157" s="10">
        <f t="shared" ref="I157:I163" si="52">B157-G157</f>
        <v>-22777.5</v>
      </c>
      <c r="J157" s="88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27" t="s">
        <v>83</v>
      </c>
      <c r="B158" s="29">
        <v>-72000.0</v>
      </c>
      <c r="C158" s="85"/>
      <c r="D158" s="29"/>
      <c r="E158" s="29"/>
      <c r="F158" s="86">
        <f t="shared" si="49"/>
        <v>0.5</v>
      </c>
      <c r="G158" s="29">
        <f t="shared" si="50"/>
        <v>-36000</v>
      </c>
      <c r="H158" s="86">
        <f t="shared" si="51"/>
        <v>0.5</v>
      </c>
      <c r="I158" s="29">
        <f t="shared" si="52"/>
        <v>-36000</v>
      </c>
      <c r="J158" s="87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65" t="s">
        <v>84</v>
      </c>
      <c r="B159" s="10">
        <v>-17500.0</v>
      </c>
      <c r="C159" s="83"/>
      <c r="D159" s="10"/>
      <c r="E159" s="10"/>
      <c r="F159" s="84">
        <f t="shared" si="49"/>
        <v>0.5</v>
      </c>
      <c r="G159" s="10">
        <f t="shared" si="50"/>
        <v>-8750</v>
      </c>
      <c r="H159" s="84">
        <f t="shared" si="51"/>
        <v>0.5</v>
      </c>
      <c r="I159" s="10">
        <f t="shared" si="52"/>
        <v>-8750</v>
      </c>
      <c r="J159" s="88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27" t="s">
        <v>85</v>
      </c>
      <c r="B160" s="29">
        <v>-10000.0</v>
      </c>
      <c r="C160" s="85"/>
      <c r="D160" s="29"/>
      <c r="E160" s="29"/>
      <c r="F160" s="86">
        <f t="shared" si="49"/>
        <v>0.5</v>
      </c>
      <c r="G160" s="29">
        <f t="shared" si="50"/>
        <v>-5000</v>
      </c>
      <c r="H160" s="86">
        <f t="shared" si="51"/>
        <v>0.5</v>
      </c>
      <c r="I160" s="29">
        <f t="shared" si="52"/>
        <v>-5000</v>
      </c>
      <c r="J160" s="87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65" t="s">
        <v>86</v>
      </c>
      <c r="B161" s="10">
        <v>-15000.0</v>
      </c>
      <c r="C161" s="83"/>
      <c r="D161" s="10"/>
      <c r="E161" s="10"/>
      <c r="F161" s="84">
        <f t="shared" si="49"/>
        <v>0.5</v>
      </c>
      <c r="G161" s="10">
        <f t="shared" si="50"/>
        <v>-7500</v>
      </c>
      <c r="H161" s="84">
        <f t="shared" si="51"/>
        <v>0.5</v>
      </c>
      <c r="I161" s="10">
        <f t="shared" si="52"/>
        <v>-7500</v>
      </c>
      <c r="J161" s="88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27" t="s">
        <v>87</v>
      </c>
      <c r="B162" s="29"/>
      <c r="C162" s="85"/>
      <c r="D162" s="29"/>
      <c r="E162" s="29"/>
      <c r="F162" s="86" t="str">
        <f t="shared" si="49"/>
        <v/>
      </c>
      <c r="G162" s="29">
        <f t="shared" si="50"/>
        <v>0</v>
      </c>
      <c r="H162" s="86" t="str">
        <f t="shared" si="51"/>
        <v/>
      </c>
      <c r="I162" s="29">
        <f t="shared" si="52"/>
        <v>0</v>
      </c>
      <c r="J162" s="87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04"/>
      <c r="B163" s="18"/>
      <c r="C163" s="105"/>
      <c r="D163" s="18"/>
      <c r="E163" s="18"/>
      <c r="F163" s="106" t="str">
        <f t="shared" si="49"/>
        <v/>
      </c>
      <c r="G163" s="18">
        <f t="shared" si="50"/>
        <v>0</v>
      </c>
      <c r="H163" s="106" t="str">
        <f t="shared" si="51"/>
        <v/>
      </c>
      <c r="I163" s="18">
        <f t="shared" si="52"/>
        <v>0</v>
      </c>
      <c r="J163" s="107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36.0" customHeight="1">
      <c r="A164" s="108" t="s">
        <v>20</v>
      </c>
      <c r="B164" s="23">
        <f>SUM(B5:B163)</f>
        <v>1383689.21</v>
      </c>
      <c r="C164" s="109"/>
      <c r="D164" s="110">
        <f t="shared" ref="D164:E164" si="53">SUM(D5:D163)</f>
        <v>0</v>
      </c>
      <c r="E164" s="110">
        <f t="shared" si="53"/>
        <v>0</v>
      </c>
      <c r="F164" s="111"/>
      <c r="G164" s="23">
        <f>SUM(G5:G163)</f>
        <v>719344.605</v>
      </c>
      <c r="H164" s="111"/>
      <c r="I164" s="23">
        <f>SUM(I5:I163)</f>
        <v>664344.605</v>
      </c>
      <c r="J164" s="11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0" customHeight="1">
      <c r="A165" s="27" t="s">
        <v>21</v>
      </c>
      <c r="B165" s="29"/>
      <c r="C165" s="85"/>
      <c r="D165" s="29"/>
      <c r="E165" s="29"/>
      <c r="F165" s="86"/>
      <c r="G165" s="29"/>
      <c r="H165" s="29">
        <f>G164-I164</f>
        <v>55000</v>
      </c>
      <c r="I165" s="29"/>
      <c r="J165" s="87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9.5" customHeight="1">
      <c r="A166" s="27" t="s">
        <v>88</v>
      </c>
      <c r="B166" s="29"/>
      <c r="C166" s="85"/>
      <c r="D166" s="29"/>
      <c r="E166" s="29"/>
      <c r="F166" s="86"/>
      <c r="G166" s="29"/>
      <c r="H166" s="29">
        <f>H165/2</f>
        <v>27500</v>
      </c>
      <c r="I166" s="29"/>
      <c r="J166" s="87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7.5" customHeight="1">
      <c r="A167" s="113"/>
      <c r="B167" s="10"/>
      <c r="C167" s="83"/>
      <c r="D167" s="10"/>
      <c r="E167" s="10"/>
      <c r="F167" s="84"/>
      <c r="G167" s="10"/>
      <c r="H167" s="84"/>
      <c r="I167" s="10"/>
      <c r="J167" s="88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32" t="s">
        <v>89</v>
      </c>
      <c r="B168" s="34"/>
      <c r="C168" s="114"/>
      <c r="D168" s="34"/>
      <c r="E168" s="34"/>
      <c r="F168" s="115"/>
      <c r="G168" s="116">
        <v>0.0</v>
      </c>
      <c r="H168" s="115"/>
      <c r="I168" s="116">
        <f>G168*-1</f>
        <v>0</v>
      </c>
      <c r="J168" s="117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32" t="s">
        <v>25</v>
      </c>
      <c r="B169" s="39"/>
      <c r="C169" s="114"/>
      <c r="D169" s="34"/>
      <c r="E169" s="34"/>
      <c r="F169" s="115"/>
      <c r="G169" s="116">
        <f>G164+G168</f>
        <v>719344.605</v>
      </c>
      <c r="H169" s="115"/>
      <c r="I169" s="116">
        <f>I164+I168</f>
        <v>664344.605</v>
      </c>
      <c r="J169" s="117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42"/>
      <c r="B170" s="44"/>
      <c r="C170" s="118"/>
      <c r="D170" s="58"/>
      <c r="E170" s="58"/>
      <c r="F170" s="119"/>
      <c r="G170" s="120">
        <f>IF(ISERROR(G169/B164),0,G169/B164)</f>
        <v>0.5198744052</v>
      </c>
      <c r="H170" s="119"/>
      <c r="I170" s="120">
        <f>IF(ISERROR(I169/B164),0,I169/B164)</f>
        <v>0.4801255948</v>
      </c>
      <c r="J170" s="12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2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3.25" customHeight="1">
      <c r="A172" s="48" t="s">
        <v>28</v>
      </c>
      <c r="B172" s="89"/>
      <c r="C172" s="90"/>
      <c r="D172" s="91"/>
      <c r="E172" s="91"/>
      <c r="F172" s="92"/>
      <c r="G172" s="89"/>
      <c r="H172" s="92"/>
      <c r="I172" s="89"/>
      <c r="J172" s="8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22"/>
      <c r="B173" s="123">
        <v>5500.0</v>
      </c>
      <c r="C173" s="124"/>
      <c r="D173" s="123">
        <v>0.0</v>
      </c>
      <c r="E173" s="123">
        <v>0.0</v>
      </c>
      <c r="F173" s="125">
        <f t="shared" ref="F173:F184" si="54">IF(ISERROR(G173/B173),"",G173/B173)</f>
        <v>0.5</v>
      </c>
      <c r="G173" s="123">
        <f t="shared" ref="G173:G184" si="55">B173*0.5</f>
        <v>2750</v>
      </c>
      <c r="H173" s="125">
        <f t="shared" ref="H173:H184" si="56">IF(ISERROR(I173/B173),"",I173/B173)</f>
        <v>0.5</v>
      </c>
      <c r="I173" s="123">
        <f t="shared" ref="I173:I184" si="57">B173-G173</f>
        <v>2750</v>
      </c>
      <c r="J173" s="126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27"/>
      <c r="B174" s="29">
        <v>-4500.0</v>
      </c>
      <c r="C174" s="85"/>
      <c r="D174" s="29"/>
      <c r="E174" s="29"/>
      <c r="F174" s="86">
        <f t="shared" si="54"/>
        <v>0.5</v>
      </c>
      <c r="G174" s="29">
        <f t="shared" si="55"/>
        <v>-2250</v>
      </c>
      <c r="H174" s="86">
        <f t="shared" si="56"/>
        <v>0.5</v>
      </c>
      <c r="I174" s="29">
        <f t="shared" si="57"/>
        <v>-2250</v>
      </c>
      <c r="J174" s="87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65"/>
      <c r="B175" s="10"/>
      <c r="C175" s="83"/>
      <c r="D175" s="10"/>
      <c r="E175" s="10"/>
      <c r="F175" s="84" t="str">
        <f t="shared" si="54"/>
        <v/>
      </c>
      <c r="G175" s="10">
        <f t="shared" si="55"/>
        <v>0</v>
      </c>
      <c r="H175" s="84" t="str">
        <f t="shared" si="56"/>
        <v/>
      </c>
      <c r="I175" s="10">
        <f t="shared" si="57"/>
        <v>0</v>
      </c>
      <c r="J175" s="88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27"/>
      <c r="B176" s="29"/>
      <c r="C176" s="85"/>
      <c r="D176" s="29"/>
      <c r="E176" s="29"/>
      <c r="F176" s="86" t="str">
        <f t="shared" si="54"/>
        <v/>
      </c>
      <c r="G176" s="29">
        <f t="shared" si="55"/>
        <v>0</v>
      </c>
      <c r="H176" s="86" t="str">
        <f t="shared" si="56"/>
        <v/>
      </c>
      <c r="I176" s="29">
        <f t="shared" si="57"/>
        <v>0</v>
      </c>
      <c r="J176" s="87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65"/>
      <c r="B177" s="10"/>
      <c r="C177" s="83"/>
      <c r="D177" s="10"/>
      <c r="E177" s="10"/>
      <c r="F177" s="84" t="str">
        <f t="shared" si="54"/>
        <v/>
      </c>
      <c r="G177" s="10">
        <f t="shared" si="55"/>
        <v>0</v>
      </c>
      <c r="H177" s="84" t="str">
        <f t="shared" si="56"/>
        <v/>
      </c>
      <c r="I177" s="10">
        <f t="shared" si="57"/>
        <v>0</v>
      </c>
      <c r="J177" s="88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27"/>
      <c r="B178" s="29"/>
      <c r="C178" s="85"/>
      <c r="D178" s="29"/>
      <c r="E178" s="29"/>
      <c r="F178" s="86" t="str">
        <f t="shared" si="54"/>
        <v/>
      </c>
      <c r="G178" s="29">
        <f t="shared" si="55"/>
        <v>0</v>
      </c>
      <c r="H178" s="86" t="str">
        <f t="shared" si="56"/>
        <v/>
      </c>
      <c r="I178" s="29">
        <f t="shared" si="57"/>
        <v>0</v>
      </c>
      <c r="J178" s="87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65"/>
      <c r="B179" s="10"/>
      <c r="C179" s="83"/>
      <c r="D179" s="10"/>
      <c r="E179" s="10"/>
      <c r="F179" s="84" t="str">
        <f t="shared" si="54"/>
        <v/>
      </c>
      <c r="G179" s="10">
        <f t="shared" si="55"/>
        <v>0</v>
      </c>
      <c r="H179" s="84" t="str">
        <f t="shared" si="56"/>
        <v/>
      </c>
      <c r="I179" s="10">
        <f t="shared" si="57"/>
        <v>0</v>
      </c>
      <c r="J179" s="88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27"/>
      <c r="B180" s="29"/>
      <c r="C180" s="85"/>
      <c r="D180" s="29"/>
      <c r="E180" s="29"/>
      <c r="F180" s="86" t="str">
        <f t="shared" si="54"/>
        <v/>
      </c>
      <c r="G180" s="29">
        <f t="shared" si="55"/>
        <v>0</v>
      </c>
      <c r="H180" s="86" t="str">
        <f t="shared" si="56"/>
        <v/>
      </c>
      <c r="I180" s="29">
        <f t="shared" si="57"/>
        <v>0</v>
      </c>
      <c r="J180" s="87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65"/>
      <c r="B181" s="10"/>
      <c r="C181" s="83"/>
      <c r="D181" s="10"/>
      <c r="E181" s="10"/>
      <c r="F181" s="84" t="str">
        <f t="shared" si="54"/>
        <v/>
      </c>
      <c r="G181" s="10">
        <f t="shared" si="55"/>
        <v>0</v>
      </c>
      <c r="H181" s="84" t="str">
        <f t="shared" si="56"/>
        <v/>
      </c>
      <c r="I181" s="10">
        <f t="shared" si="57"/>
        <v>0</v>
      </c>
      <c r="J181" s="88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27"/>
      <c r="B182" s="29"/>
      <c r="C182" s="85"/>
      <c r="D182" s="29"/>
      <c r="E182" s="29"/>
      <c r="F182" s="86" t="str">
        <f t="shared" si="54"/>
        <v/>
      </c>
      <c r="G182" s="29">
        <f t="shared" si="55"/>
        <v>0</v>
      </c>
      <c r="H182" s="86" t="str">
        <f t="shared" si="56"/>
        <v/>
      </c>
      <c r="I182" s="29">
        <f t="shared" si="57"/>
        <v>0</v>
      </c>
      <c r="J182" s="87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65"/>
      <c r="B183" s="10"/>
      <c r="C183" s="83"/>
      <c r="D183" s="10"/>
      <c r="E183" s="10"/>
      <c r="F183" s="84" t="str">
        <f t="shared" si="54"/>
        <v/>
      </c>
      <c r="G183" s="10">
        <f t="shared" si="55"/>
        <v>0</v>
      </c>
      <c r="H183" s="84" t="str">
        <f t="shared" si="56"/>
        <v/>
      </c>
      <c r="I183" s="10">
        <f t="shared" si="57"/>
        <v>0</v>
      </c>
      <c r="J183" s="88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93"/>
      <c r="B184" s="94"/>
      <c r="C184" s="95"/>
      <c r="D184" s="94"/>
      <c r="E184" s="94"/>
      <c r="F184" s="96" t="str">
        <f t="shared" si="54"/>
        <v/>
      </c>
      <c r="G184" s="94">
        <f t="shared" si="55"/>
        <v>0</v>
      </c>
      <c r="H184" s="96" t="str">
        <f t="shared" si="56"/>
        <v/>
      </c>
      <c r="I184" s="94">
        <f t="shared" si="57"/>
        <v>0</v>
      </c>
      <c r="J184" s="97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1.75" customHeight="1">
      <c r="A185" s="127" t="s">
        <v>25</v>
      </c>
      <c r="B185" s="128"/>
      <c r="C185" s="129"/>
      <c r="D185" s="130"/>
      <c r="E185" s="130"/>
      <c r="F185" s="131"/>
      <c r="G185" s="130">
        <f>SUM(G173:G184)</f>
        <v>500</v>
      </c>
      <c r="H185" s="131"/>
      <c r="I185" s="130">
        <f>SUM(I173:I184)</f>
        <v>500</v>
      </c>
      <c r="J185" s="13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6.14"/>
    <col customWidth="1" min="2" max="2" width="20.43"/>
    <col customWidth="1" min="3" max="3" width="17.43"/>
    <col customWidth="1" min="4" max="4" width="19.14"/>
    <col customWidth="1" min="5" max="5" width="14.71"/>
    <col customWidth="1" min="6" max="7" width="12.71"/>
    <col customWidth="1" min="8" max="8" width="12.14"/>
    <col customWidth="1" min="9" max="9" width="17.71"/>
    <col customWidth="1" min="10" max="10" width="17.0"/>
    <col customWidth="1" min="11" max="11" width="19.14"/>
    <col customWidth="1" min="12" max="12" width="56.14"/>
    <col customWidth="1" min="13" max="26" width="9.1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56.25" customHeight="1">
      <c r="A2" s="63" t="s">
        <v>3</v>
      </c>
      <c r="B2" s="133" t="s">
        <v>0</v>
      </c>
      <c r="C2" s="134" t="s">
        <v>90</v>
      </c>
      <c r="D2" s="64" t="s">
        <v>91</v>
      </c>
      <c r="E2" s="64" t="s">
        <v>48</v>
      </c>
      <c r="F2" s="64" t="s">
        <v>30</v>
      </c>
      <c r="G2" s="64" t="s">
        <v>31</v>
      </c>
      <c r="H2" s="64" t="s">
        <v>92</v>
      </c>
      <c r="I2" s="64" t="s">
        <v>93</v>
      </c>
      <c r="J2" s="64" t="s">
        <v>94</v>
      </c>
      <c r="K2" s="64" t="s">
        <v>95</v>
      </c>
      <c r="L2" s="74" t="s">
        <v>6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0.25" customHeight="1">
      <c r="A3" s="75" t="s">
        <v>54</v>
      </c>
      <c r="B3" s="135"/>
      <c r="C3" s="135"/>
      <c r="D3" s="76"/>
      <c r="E3" s="76"/>
      <c r="F3" s="76"/>
      <c r="G3" s="76"/>
      <c r="H3" s="76"/>
      <c r="I3" s="76"/>
      <c r="J3" s="76"/>
      <c r="K3" s="76"/>
      <c r="L3" s="77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9.75" customHeight="1">
      <c r="A4" s="78"/>
      <c r="B4" s="79"/>
      <c r="C4" s="79"/>
      <c r="D4" s="79"/>
      <c r="E4" s="79"/>
      <c r="F4" s="79"/>
      <c r="G4" s="79"/>
      <c r="H4" s="79"/>
      <c r="I4" s="79"/>
      <c r="J4" s="79"/>
      <c r="K4" s="79"/>
      <c r="L4" s="80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1.0" customHeight="1">
      <c r="A5" s="48" t="s">
        <v>96</v>
      </c>
      <c r="B5" s="136"/>
      <c r="C5" s="136"/>
      <c r="D5" s="81"/>
      <c r="E5" s="81"/>
      <c r="F5" s="81"/>
      <c r="G5" s="81"/>
      <c r="H5" s="81"/>
      <c r="I5" s="81"/>
      <c r="J5" s="81"/>
      <c r="K5" s="81"/>
      <c r="L5" s="82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65" t="s">
        <v>56</v>
      </c>
      <c r="B6" s="10">
        <v>500000.0</v>
      </c>
      <c r="C6" s="10">
        <v>-150000.0</v>
      </c>
      <c r="D6" s="10">
        <f t="shared" ref="D6:D21" si="1">B6+C6</f>
        <v>350000</v>
      </c>
      <c r="E6" s="83">
        <v>45536.0</v>
      </c>
      <c r="F6" s="10"/>
      <c r="G6" s="10"/>
      <c r="H6" s="84">
        <f t="shared" ref="H6:H21" si="2">IF(ISERROR(I6/D6),"",I6/D6)</f>
        <v>0.5</v>
      </c>
      <c r="I6" s="10">
        <f t="shared" ref="I6:I21" si="3">D6*0.5</f>
        <v>175000</v>
      </c>
      <c r="J6" s="84">
        <f t="shared" ref="J6:J21" si="4">IF(ISERROR(K6/D6),"",K6/D6)</f>
        <v>0.5</v>
      </c>
      <c r="K6" s="10">
        <f t="shared" ref="K6:K21" si="5">D6-I6</f>
        <v>175000</v>
      </c>
      <c r="L6" s="88" t="s">
        <v>97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7" t="s">
        <v>59</v>
      </c>
      <c r="B7" s="29">
        <v>750000.0</v>
      </c>
      <c r="C7" s="29">
        <v>-200000.0</v>
      </c>
      <c r="D7" s="29">
        <f t="shared" si="1"/>
        <v>550000</v>
      </c>
      <c r="E7" s="85">
        <v>45553.0</v>
      </c>
      <c r="F7" s="29"/>
      <c r="G7" s="29"/>
      <c r="H7" s="86">
        <f t="shared" si="2"/>
        <v>0.5</v>
      </c>
      <c r="I7" s="29">
        <f t="shared" si="3"/>
        <v>275000</v>
      </c>
      <c r="J7" s="86">
        <f t="shared" si="4"/>
        <v>0.5</v>
      </c>
      <c r="K7" s="29">
        <f t="shared" si="5"/>
        <v>275000</v>
      </c>
      <c r="L7" s="87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65" t="s">
        <v>98</v>
      </c>
      <c r="B8" s="10">
        <v>650000.0</v>
      </c>
      <c r="C8" s="10">
        <v>-225000.0</v>
      </c>
      <c r="D8" s="10">
        <f t="shared" si="1"/>
        <v>425000</v>
      </c>
      <c r="E8" s="83">
        <v>45556.0</v>
      </c>
      <c r="F8" s="10"/>
      <c r="G8" s="10"/>
      <c r="H8" s="84">
        <f t="shared" si="2"/>
        <v>0.5</v>
      </c>
      <c r="I8" s="10">
        <f t="shared" si="3"/>
        <v>212500</v>
      </c>
      <c r="J8" s="84">
        <f t="shared" si="4"/>
        <v>0.5</v>
      </c>
      <c r="K8" s="10">
        <f t="shared" si="5"/>
        <v>212500</v>
      </c>
      <c r="L8" s="8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7"/>
      <c r="B9" s="29"/>
      <c r="C9" s="29"/>
      <c r="D9" s="29">
        <f t="shared" si="1"/>
        <v>0</v>
      </c>
      <c r="E9" s="85"/>
      <c r="F9" s="29"/>
      <c r="G9" s="29"/>
      <c r="H9" s="86" t="str">
        <f t="shared" si="2"/>
        <v/>
      </c>
      <c r="I9" s="29">
        <f t="shared" si="3"/>
        <v>0</v>
      </c>
      <c r="J9" s="86" t="str">
        <f t="shared" si="4"/>
        <v/>
      </c>
      <c r="K9" s="29">
        <f t="shared" si="5"/>
        <v>0</v>
      </c>
      <c r="L9" s="87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65"/>
      <c r="B10" s="10"/>
      <c r="C10" s="10"/>
      <c r="D10" s="10">
        <f t="shared" si="1"/>
        <v>0</v>
      </c>
      <c r="E10" s="83"/>
      <c r="F10" s="10"/>
      <c r="G10" s="10"/>
      <c r="H10" s="84" t="str">
        <f t="shared" si="2"/>
        <v/>
      </c>
      <c r="I10" s="10">
        <f t="shared" si="3"/>
        <v>0</v>
      </c>
      <c r="J10" s="84" t="str">
        <f t="shared" si="4"/>
        <v/>
      </c>
      <c r="K10" s="10">
        <f t="shared" si="5"/>
        <v>0</v>
      </c>
      <c r="L10" s="88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7"/>
      <c r="B11" s="137"/>
      <c r="C11" s="137"/>
      <c r="D11" s="29">
        <f t="shared" si="1"/>
        <v>0</v>
      </c>
      <c r="E11" s="85"/>
      <c r="F11" s="29"/>
      <c r="G11" s="29"/>
      <c r="H11" s="86" t="str">
        <f t="shared" si="2"/>
        <v/>
      </c>
      <c r="I11" s="29">
        <f t="shared" si="3"/>
        <v>0</v>
      </c>
      <c r="J11" s="86" t="str">
        <f t="shared" si="4"/>
        <v/>
      </c>
      <c r="K11" s="29">
        <f t="shared" si="5"/>
        <v>0</v>
      </c>
      <c r="L11" s="87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65"/>
      <c r="B12" s="15"/>
      <c r="C12" s="15"/>
      <c r="D12" s="10">
        <f t="shared" si="1"/>
        <v>0</v>
      </c>
      <c r="E12" s="83"/>
      <c r="F12" s="10"/>
      <c r="G12" s="10"/>
      <c r="H12" s="84" t="str">
        <f t="shared" si="2"/>
        <v/>
      </c>
      <c r="I12" s="10">
        <f t="shared" si="3"/>
        <v>0</v>
      </c>
      <c r="J12" s="84" t="str">
        <f t="shared" si="4"/>
        <v/>
      </c>
      <c r="K12" s="10">
        <f t="shared" si="5"/>
        <v>0</v>
      </c>
      <c r="L12" s="88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7"/>
      <c r="B13" s="137"/>
      <c r="C13" s="137"/>
      <c r="D13" s="29">
        <f t="shared" si="1"/>
        <v>0</v>
      </c>
      <c r="E13" s="85"/>
      <c r="F13" s="29"/>
      <c r="G13" s="29"/>
      <c r="H13" s="86" t="str">
        <f t="shared" si="2"/>
        <v/>
      </c>
      <c r="I13" s="29">
        <f t="shared" si="3"/>
        <v>0</v>
      </c>
      <c r="J13" s="86" t="str">
        <f t="shared" si="4"/>
        <v/>
      </c>
      <c r="K13" s="29">
        <f t="shared" si="5"/>
        <v>0</v>
      </c>
      <c r="L13" s="87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65"/>
      <c r="B14" s="15"/>
      <c r="C14" s="15"/>
      <c r="D14" s="10">
        <f t="shared" si="1"/>
        <v>0</v>
      </c>
      <c r="E14" s="83"/>
      <c r="F14" s="10"/>
      <c r="G14" s="10"/>
      <c r="H14" s="84" t="str">
        <f t="shared" si="2"/>
        <v/>
      </c>
      <c r="I14" s="10">
        <f t="shared" si="3"/>
        <v>0</v>
      </c>
      <c r="J14" s="84" t="str">
        <f t="shared" si="4"/>
        <v/>
      </c>
      <c r="K14" s="10">
        <f t="shared" si="5"/>
        <v>0</v>
      </c>
      <c r="L14" s="88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7"/>
      <c r="B15" s="137"/>
      <c r="C15" s="137"/>
      <c r="D15" s="29">
        <f t="shared" si="1"/>
        <v>0</v>
      </c>
      <c r="E15" s="85"/>
      <c r="F15" s="29"/>
      <c r="G15" s="29"/>
      <c r="H15" s="86" t="str">
        <f t="shared" si="2"/>
        <v/>
      </c>
      <c r="I15" s="29">
        <f t="shared" si="3"/>
        <v>0</v>
      </c>
      <c r="J15" s="86" t="str">
        <f t="shared" si="4"/>
        <v/>
      </c>
      <c r="K15" s="29">
        <f t="shared" si="5"/>
        <v>0</v>
      </c>
      <c r="L15" s="87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65"/>
      <c r="B16" s="15"/>
      <c r="C16" s="15"/>
      <c r="D16" s="10">
        <f t="shared" si="1"/>
        <v>0</v>
      </c>
      <c r="E16" s="83"/>
      <c r="F16" s="10"/>
      <c r="G16" s="10"/>
      <c r="H16" s="84" t="str">
        <f t="shared" si="2"/>
        <v/>
      </c>
      <c r="I16" s="10">
        <f t="shared" si="3"/>
        <v>0</v>
      </c>
      <c r="J16" s="84" t="str">
        <f t="shared" si="4"/>
        <v/>
      </c>
      <c r="K16" s="10">
        <f t="shared" si="5"/>
        <v>0</v>
      </c>
      <c r="L16" s="88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7"/>
      <c r="B17" s="137"/>
      <c r="C17" s="137"/>
      <c r="D17" s="29">
        <f t="shared" si="1"/>
        <v>0</v>
      </c>
      <c r="E17" s="85"/>
      <c r="F17" s="29"/>
      <c r="G17" s="29"/>
      <c r="H17" s="86" t="str">
        <f t="shared" si="2"/>
        <v/>
      </c>
      <c r="I17" s="29">
        <f t="shared" si="3"/>
        <v>0</v>
      </c>
      <c r="J17" s="86" t="str">
        <f t="shared" si="4"/>
        <v/>
      </c>
      <c r="K17" s="29">
        <f t="shared" si="5"/>
        <v>0</v>
      </c>
      <c r="L17" s="87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65"/>
      <c r="B18" s="15"/>
      <c r="C18" s="15"/>
      <c r="D18" s="10">
        <f t="shared" si="1"/>
        <v>0</v>
      </c>
      <c r="E18" s="83"/>
      <c r="F18" s="10"/>
      <c r="G18" s="10"/>
      <c r="H18" s="84" t="str">
        <f t="shared" si="2"/>
        <v/>
      </c>
      <c r="I18" s="10">
        <f t="shared" si="3"/>
        <v>0</v>
      </c>
      <c r="J18" s="84" t="str">
        <f t="shared" si="4"/>
        <v/>
      </c>
      <c r="K18" s="10">
        <f t="shared" si="5"/>
        <v>0</v>
      </c>
      <c r="L18" s="88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7"/>
      <c r="B19" s="137"/>
      <c r="C19" s="137"/>
      <c r="D19" s="29">
        <f t="shared" si="1"/>
        <v>0</v>
      </c>
      <c r="E19" s="85"/>
      <c r="F19" s="29"/>
      <c r="G19" s="29"/>
      <c r="H19" s="86" t="str">
        <f t="shared" si="2"/>
        <v/>
      </c>
      <c r="I19" s="29">
        <f t="shared" si="3"/>
        <v>0</v>
      </c>
      <c r="J19" s="86" t="str">
        <f t="shared" si="4"/>
        <v/>
      </c>
      <c r="K19" s="29">
        <f t="shared" si="5"/>
        <v>0</v>
      </c>
      <c r="L19" s="87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65"/>
      <c r="B20" s="15"/>
      <c r="C20" s="15"/>
      <c r="D20" s="10">
        <f t="shared" si="1"/>
        <v>0</v>
      </c>
      <c r="E20" s="83"/>
      <c r="F20" s="10"/>
      <c r="G20" s="10"/>
      <c r="H20" s="84" t="str">
        <f t="shared" si="2"/>
        <v/>
      </c>
      <c r="I20" s="10">
        <f t="shared" si="3"/>
        <v>0</v>
      </c>
      <c r="J20" s="84" t="str">
        <f t="shared" si="4"/>
        <v/>
      </c>
      <c r="K20" s="10">
        <f t="shared" si="5"/>
        <v>0</v>
      </c>
      <c r="L20" s="88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27"/>
      <c r="B21" s="137"/>
      <c r="C21" s="137"/>
      <c r="D21" s="29">
        <f t="shared" si="1"/>
        <v>0</v>
      </c>
      <c r="E21" s="85"/>
      <c r="F21" s="29"/>
      <c r="G21" s="29"/>
      <c r="H21" s="86" t="str">
        <f t="shared" si="2"/>
        <v/>
      </c>
      <c r="I21" s="29">
        <f t="shared" si="3"/>
        <v>0</v>
      </c>
      <c r="J21" s="86" t="str">
        <f t="shared" si="4"/>
        <v/>
      </c>
      <c r="K21" s="29">
        <f t="shared" si="5"/>
        <v>0</v>
      </c>
      <c r="L21" s="87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2.5" customHeight="1">
      <c r="A22" s="48" t="s">
        <v>8</v>
      </c>
      <c r="B22" s="136"/>
      <c r="C22" s="136"/>
      <c r="D22" s="89"/>
      <c r="E22" s="90"/>
      <c r="F22" s="91"/>
      <c r="G22" s="91"/>
      <c r="H22" s="92"/>
      <c r="I22" s="89"/>
      <c r="J22" s="92"/>
      <c r="K22" s="89"/>
      <c r="L22" s="8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65" t="s">
        <v>62</v>
      </c>
      <c r="B23" s="10">
        <v>17500.0</v>
      </c>
      <c r="C23" s="10"/>
      <c r="D23" s="10">
        <f t="shared" ref="D23:D34" si="6">B23+C23</f>
        <v>17500</v>
      </c>
      <c r="E23" s="83"/>
      <c r="F23" s="10">
        <v>1000.0</v>
      </c>
      <c r="G23" s="10"/>
      <c r="H23" s="84">
        <f t="shared" ref="H23:H34" si="7">IF(ISERROR(I23/D23),"",I23/D23)</f>
        <v>0.5</v>
      </c>
      <c r="I23" s="10">
        <f t="shared" ref="I23:I34" si="8">D23*0.5</f>
        <v>8750</v>
      </c>
      <c r="J23" s="84">
        <f t="shared" ref="J23:J34" si="9">IF(ISERROR(K23/D23),"",K23/D23)</f>
        <v>0.5</v>
      </c>
      <c r="K23" s="10">
        <f t="shared" ref="K23:K34" si="10">D23-I23</f>
        <v>8750</v>
      </c>
      <c r="L23" s="88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7" t="s">
        <v>63</v>
      </c>
      <c r="B24" s="29">
        <v>11275.0</v>
      </c>
      <c r="C24" s="29"/>
      <c r="D24" s="29">
        <f t="shared" si="6"/>
        <v>11275</v>
      </c>
      <c r="E24" s="85"/>
      <c r="F24" s="29"/>
      <c r="G24" s="29">
        <v>1500.0</v>
      </c>
      <c r="H24" s="86">
        <f t="shared" si="7"/>
        <v>0.5</v>
      </c>
      <c r="I24" s="29">
        <f t="shared" si="8"/>
        <v>5637.5</v>
      </c>
      <c r="J24" s="86">
        <f t="shared" si="9"/>
        <v>0.5</v>
      </c>
      <c r="K24" s="29">
        <f t="shared" si="10"/>
        <v>5637.5</v>
      </c>
      <c r="L24" s="87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65"/>
      <c r="B25" s="10"/>
      <c r="C25" s="10"/>
      <c r="D25" s="10">
        <f t="shared" si="6"/>
        <v>0</v>
      </c>
      <c r="E25" s="83"/>
      <c r="F25" s="10"/>
      <c r="G25" s="10"/>
      <c r="H25" s="84" t="str">
        <f t="shared" si="7"/>
        <v/>
      </c>
      <c r="I25" s="10">
        <f t="shared" si="8"/>
        <v>0</v>
      </c>
      <c r="J25" s="84" t="str">
        <f t="shared" si="9"/>
        <v/>
      </c>
      <c r="K25" s="10">
        <f t="shared" si="10"/>
        <v>0</v>
      </c>
      <c r="L25" s="88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27"/>
      <c r="B26" s="29"/>
      <c r="C26" s="29"/>
      <c r="D26" s="29">
        <f t="shared" si="6"/>
        <v>0</v>
      </c>
      <c r="E26" s="85"/>
      <c r="F26" s="29"/>
      <c r="G26" s="29"/>
      <c r="H26" s="86" t="str">
        <f t="shared" si="7"/>
        <v/>
      </c>
      <c r="I26" s="29">
        <f t="shared" si="8"/>
        <v>0</v>
      </c>
      <c r="J26" s="86" t="str">
        <f t="shared" si="9"/>
        <v/>
      </c>
      <c r="K26" s="29">
        <f t="shared" si="10"/>
        <v>0</v>
      </c>
      <c r="L26" s="87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65"/>
      <c r="B27" s="10"/>
      <c r="C27" s="10"/>
      <c r="D27" s="10">
        <f t="shared" si="6"/>
        <v>0</v>
      </c>
      <c r="E27" s="83"/>
      <c r="F27" s="10"/>
      <c r="G27" s="10"/>
      <c r="H27" s="84" t="str">
        <f t="shared" si="7"/>
        <v/>
      </c>
      <c r="I27" s="10">
        <f t="shared" si="8"/>
        <v>0</v>
      </c>
      <c r="J27" s="84" t="str">
        <f t="shared" si="9"/>
        <v/>
      </c>
      <c r="K27" s="10">
        <f t="shared" si="10"/>
        <v>0</v>
      </c>
      <c r="L27" s="88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27"/>
      <c r="B28" s="29"/>
      <c r="C28" s="29"/>
      <c r="D28" s="29">
        <f t="shared" si="6"/>
        <v>0</v>
      </c>
      <c r="E28" s="85"/>
      <c r="F28" s="29"/>
      <c r="G28" s="29"/>
      <c r="H28" s="86" t="str">
        <f t="shared" si="7"/>
        <v/>
      </c>
      <c r="I28" s="29">
        <f t="shared" si="8"/>
        <v>0</v>
      </c>
      <c r="J28" s="86" t="str">
        <f t="shared" si="9"/>
        <v/>
      </c>
      <c r="K28" s="29">
        <f t="shared" si="10"/>
        <v>0</v>
      </c>
      <c r="L28" s="87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65"/>
      <c r="B29" s="10"/>
      <c r="C29" s="10"/>
      <c r="D29" s="10">
        <f t="shared" si="6"/>
        <v>0</v>
      </c>
      <c r="E29" s="83"/>
      <c r="F29" s="10"/>
      <c r="G29" s="10"/>
      <c r="H29" s="84" t="str">
        <f t="shared" si="7"/>
        <v/>
      </c>
      <c r="I29" s="10">
        <f t="shared" si="8"/>
        <v>0</v>
      </c>
      <c r="J29" s="84" t="str">
        <f t="shared" si="9"/>
        <v/>
      </c>
      <c r="K29" s="10">
        <f t="shared" si="10"/>
        <v>0</v>
      </c>
      <c r="L29" s="88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27"/>
      <c r="B30" s="29"/>
      <c r="C30" s="29"/>
      <c r="D30" s="29">
        <f t="shared" si="6"/>
        <v>0</v>
      </c>
      <c r="E30" s="85"/>
      <c r="F30" s="29"/>
      <c r="G30" s="29"/>
      <c r="H30" s="86" t="str">
        <f t="shared" si="7"/>
        <v/>
      </c>
      <c r="I30" s="29">
        <f t="shared" si="8"/>
        <v>0</v>
      </c>
      <c r="J30" s="86" t="str">
        <f t="shared" si="9"/>
        <v/>
      </c>
      <c r="K30" s="29">
        <f t="shared" si="10"/>
        <v>0</v>
      </c>
      <c r="L30" s="87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65"/>
      <c r="B31" s="10"/>
      <c r="C31" s="10"/>
      <c r="D31" s="10">
        <f t="shared" si="6"/>
        <v>0</v>
      </c>
      <c r="E31" s="83"/>
      <c r="F31" s="10"/>
      <c r="G31" s="10"/>
      <c r="H31" s="84" t="str">
        <f t="shared" si="7"/>
        <v/>
      </c>
      <c r="I31" s="10">
        <f t="shared" si="8"/>
        <v>0</v>
      </c>
      <c r="J31" s="84" t="str">
        <f t="shared" si="9"/>
        <v/>
      </c>
      <c r="K31" s="10">
        <f t="shared" si="10"/>
        <v>0</v>
      </c>
      <c r="L31" s="88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27"/>
      <c r="B32" s="29"/>
      <c r="C32" s="29"/>
      <c r="D32" s="29">
        <f t="shared" si="6"/>
        <v>0</v>
      </c>
      <c r="E32" s="85"/>
      <c r="F32" s="29"/>
      <c r="G32" s="29"/>
      <c r="H32" s="86" t="str">
        <f t="shared" si="7"/>
        <v/>
      </c>
      <c r="I32" s="29">
        <f t="shared" si="8"/>
        <v>0</v>
      </c>
      <c r="J32" s="86" t="str">
        <f t="shared" si="9"/>
        <v/>
      </c>
      <c r="K32" s="29">
        <f t="shared" si="10"/>
        <v>0</v>
      </c>
      <c r="L32" s="87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65"/>
      <c r="B33" s="10"/>
      <c r="C33" s="10"/>
      <c r="D33" s="10">
        <f t="shared" si="6"/>
        <v>0</v>
      </c>
      <c r="E33" s="83"/>
      <c r="F33" s="10"/>
      <c r="G33" s="10"/>
      <c r="H33" s="84" t="str">
        <f t="shared" si="7"/>
        <v/>
      </c>
      <c r="I33" s="10">
        <f t="shared" si="8"/>
        <v>0</v>
      </c>
      <c r="J33" s="84" t="str">
        <f t="shared" si="9"/>
        <v/>
      </c>
      <c r="K33" s="10">
        <f t="shared" si="10"/>
        <v>0</v>
      </c>
      <c r="L33" s="88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93"/>
      <c r="B34" s="29"/>
      <c r="C34" s="29"/>
      <c r="D34" s="94">
        <f t="shared" si="6"/>
        <v>0</v>
      </c>
      <c r="E34" s="95"/>
      <c r="F34" s="94"/>
      <c r="G34" s="94"/>
      <c r="H34" s="96" t="str">
        <f t="shared" si="7"/>
        <v/>
      </c>
      <c r="I34" s="94">
        <f t="shared" si="8"/>
        <v>0</v>
      </c>
      <c r="J34" s="96" t="str">
        <f t="shared" si="9"/>
        <v/>
      </c>
      <c r="K34" s="94">
        <f t="shared" si="10"/>
        <v>0</v>
      </c>
      <c r="L34" s="97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2.5" customHeight="1">
      <c r="A35" s="48" t="s">
        <v>9</v>
      </c>
      <c r="B35" s="136"/>
      <c r="C35" s="136"/>
      <c r="D35" s="89"/>
      <c r="E35" s="90"/>
      <c r="F35" s="91"/>
      <c r="G35" s="91"/>
      <c r="H35" s="92"/>
      <c r="I35" s="89"/>
      <c r="J35" s="92"/>
      <c r="K35" s="89"/>
      <c r="L35" s="8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65"/>
      <c r="B36" s="10">
        <v>65000.0</v>
      </c>
      <c r="C36" s="10">
        <v>-55000.0</v>
      </c>
      <c r="D36" s="10">
        <f t="shared" ref="D36:D41" si="11">B36+C36</f>
        <v>10000</v>
      </c>
      <c r="E36" s="83"/>
      <c r="F36" s="10">
        <v>0.0</v>
      </c>
      <c r="G36" s="10">
        <v>0.0</v>
      </c>
      <c r="H36" s="84">
        <f t="shared" ref="H36:H41" si="12">IF(ISERROR(I36/D36),"",I36/D36)</f>
        <v>0.5</v>
      </c>
      <c r="I36" s="10">
        <f t="shared" ref="I36:I41" si="13">D36*0.5</f>
        <v>5000</v>
      </c>
      <c r="J36" s="84">
        <f t="shared" ref="J36:J41" si="14">IF(ISERROR(K36/D36),"",K36/D36)</f>
        <v>0.5</v>
      </c>
      <c r="K36" s="10">
        <f t="shared" ref="K36:K41" si="15">D36-I36</f>
        <v>5000</v>
      </c>
      <c r="L36" s="88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27"/>
      <c r="B37" s="29"/>
      <c r="C37" s="29"/>
      <c r="D37" s="29">
        <f t="shared" si="11"/>
        <v>0</v>
      </c>
      <c r="E37" s="85"/>
      <c r="F37" s="29"/>
      <c r="G37" s="29"/>
      <c r="H37" s="86" t="str">
        <f t="shared" si="12"/>
        <v/>
      </c>
      <c r="I37" s="29">
        <f t="shared" si="13"/>
        <v>0</v>
      </c>
      <c r="J37" s="86" t="str">
        <f t="shared" si="14"/>
        <v/>
      </c>
      <c r="K37" s="29">
        <f t="shared" si="15"/>
        <v>0</v>
      </c>
      <c r="L37" s="87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65"/>
      <c r="B38" s="10"/>
      <c r="C38" s="10"/>
      <c r="D38" s="10">
        <f t="shared" si="11"/>
        <v>0</v>
      </c>
      <c r="E38" s="83"/>
      <c r="F38" s="10"/>
      <c r="G38" s="10"/>
      <c r="H38" s="84" t="str">
        <f t="shared" si="12"/>
        <v/>
      </c>
      <c r="I38" s="10">
        <f t="shared" si="13"/>
        <v>0</v>
      </c>
      <c r="J38" s="84" t="str">
        <f t="shared" si="14"/>
        <v/>
      </c>
      <c r="K38" s="10">
        <f t="shared" si="15"/>
        <v>0</v>
      </c>
      <c r="L38" s="88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27"/>
      <c r="B39" s="29"/>
      <c r="C39" s="29"/>
      <c r="D39" s="29">
        <f t="shared" si="11"/>
        <v>0</v>
      </c>
      <c r="E39" s="85"/>
      <c r="F39" s="29"/>
      <c r="G39" s="29"/>
      <c r="H39" s="86" t="str">
        <f t="shared" si="12"/>
        <v/>
      </c>
      <c r="I39" s="29">
        <f t="shared" si="13"/>
        <v>0</v>
      </c>
      <c r="J39" s="86" t="str">
        <f t="shared" si="14"/>
        <v/>
      </c>
      <c r="K39" s="29">
        <f t="shared" si="15"/>
        <v>0</v>
      </c>
      <c r="L39" s="87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65"/>
      <c r="B40" s="10"/>
      <c r="C40" s="10"/>
      <c r="D40" s="10">
        <f t="shared" si="11"/>
        <v>0</v>
      </c>
      <c r="E40" s="83"/>
      <c r="F40" s="10"/>
      <c r="G40" s="10"/>
      <c r="H40" s="84" t="str">
        <f t="shared" si="12"/>
        <v/>
      </c>
      <c r="I40" s="10">
        <f t="shared" si="13"/>
        <v>0</v>
      </c>
      <c r="J40" s="84" t="str">
        <f t="shared" si="14"/>
        <v/>
      </c>
      <c r="K40" s="10">
        <f t="shared" si="15"/>
        <v>0</v>
      </c>
      <c r="L40" s="88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93"/>
      <c r="B41" s="29"/>
      <c r="C41" s="29"/>
      <c r="D41" s="94">
        <f t="shared" si="11"/>
        <v>0</v>
      </c>
      <c r="E41" s="95"/>
      <c r="F41" s="94"/>
      <c r="G41" s="94"/>
      <c r="H41" s="96" t="str">
        <f t="shared" si="12"/>
        <v/>
      </c>
      <c r="I41" s="94">
        <f t="shared" si="13"/>
        <v>0</v>
      </c>
      <c r="J41" s="96" t="str">
        <f t="shared" si="14"/>
        <v/>
      </c>
      <c r="K41" s="94">
        <f t="shared" si="15"/>
        <v>0</v>
      </c>
      <c r="L41" s="97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2.5" customHeight="1">
      <c r="A42" s="48" t="s">
        <v>10</v>
      </c>
      <c r="B42" s="136"/>
      <c r="C42" s="136"/>
      <c r="D42" s="89"/>
      <c r="E42" s="90"/>
      <c r="F42" s="91"/>
      <c r="G42" s="91"/>
      <c r="H42" s="92"/>
      <c r="I42" s="89"/>
      <c r="J42" s="92"/>
      <c r="K42" s="89"/>
      <c r="L42" s="8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65"/>
      <c r="B43" s="10">
        <v>650000.0</v>
      </c>
      <c r="C43" s="10">
        <v>-25000.0</v>
      </c>
      <c r="D43" s="10">
        <f t="shared" ref="D43:D53" si="16">B43+C43</f>
        <v>625000</v>
      </c>
      <c r="E43" s="83"/>
      <c r="F43" s="10">
        <v>0.0</v>
      </c>
      <c r="G43" s="10">
        <v>0.0</v>
      </c>
      <c r="H43" s="84">
        <f t="shared" ref="H43:H53" si="17">IF(ISERROR(I43/D43),"",I43/D43)</f>
        <v>0.5</v>
      </c>
      <c r="I43" s="10">
        <f t="shared" ref="I43:I53" si="18">D43*0.5</f>
        <v>312500</v>
      </c>
      <c r="J43" s="84">
        <f t="shared" ref="J43:J53" si="19">IF(ISERROR(K43/D43),"",K43/D43)</f>
        <v>0.5</v>
      </c>
      <c r="K43" s="10">
        <f t="shared" ref="K43:K53" si="20">D43-I43</f>
        <v>312500</v>
      </c>
      <c r="L43" s="88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27"/>
      <c r="B44" s="29"/>
      <c r="C44" s="29"/>
      <c r="D44" s="29">
        <f t="shared" si="16"/>
        <v>0</v>
      </c>
      <c r="E44" s="85"/>
      <c r="F44" s="29"/>
      <c r="G44" s="29"/>
      <c r="H44" s="86" t="str">
        <f t="shared" si="17"/>
        <v/>
      </c>
      <c r="I44" s="29">
        <f t="shared" si="18"/>
        <v>0</v>
      </c>
      <c r="J44" s="86" t="str">
        <f t="shared" si="19"/>
        <v/>
      </c>
      <c r="K44" s="29">
        <f t="shared" si="20"/>
        <v>0</v>
      </c>
      <c r="L44" s="87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65"/>
      <c r="B45" s="10"/>
      <c r="C45" s="10"/>
      <c r="D45" s="10">
        <f t="shared" si="16"/>
        <v>0</v>
      </c>
      <c r="E45" s="83"/>
      <c r="F45" s="10"/>
      <c r="G45" s="10"/>
      <c r="H45" s="84" t="str">
        <f t="shared" si="17"/>
        <v/>
      </c>
      <c r="I45" s="10">
        <f t="shared" si="18"/>
        <v>0</v>
      </c>
      <c r="J45" s="84" t="str">
        <f t="shared" si="19"/>
        <v/>
      </c>
      <c r="K45" s="10">
        <f t="shared" si="20"/>
        <v>0</v>
      </c>
      <c r="L45" s="88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27"/>
      <c r="B46" s="29"/>
      <c r="C46" s="29"/>
      <c r="D46" s="29">
        <f t="shared" si="16"/>
        <v>0</v>
      </c>
      <c r="E46" s="85"/>
      <c r="F46" s="29"/>
      <c r="G46" s="29"/>
      <c r="H46" s="86" t="str">
        <f t="shared" si="17"/>
        <v/>
      </c>
      <c r="I46" s="29">
        <f t="shared" si="18"/>
        <v>0</v>
      </c>
      <c r="J46" s="86" t="str">
        <f t="shared" si="19"/>
        <v/>
      </c>
      <c r="K46" s="29">
        <f t="shared" si="20"/>
        <v>0</v>
      </c>
      <c r="L46" s="87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65"/>
      <c r="B47" s="10"/>
      <c r="C47" s="10"/>
      <c r="D47" s="10">
        <f t="shared" si="16"/>
        <v>0</v>
      </c>
      <c r="E47" s="83"/>
      <c r="F47" s="10"/>
      <c r="G47" s="10"/>
      <c r="H47" s="84" t="str">
        <f t="shared" si="17"/>
        <v/>
      </c>
      <c r="I47" s="10">
        <f t="shared" si="18"/>
        <v>0</v>
      </c>
      <c r="J47" s="84" t="str">
        <f t="shared" si="19"/>
        <v/>
      </c>
      <c r="K47" s="10">
        <f t="shared" si="20"/>
        <v>0</v>
      </c>
      <c r="L47" s="88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27"/>
      <c r="B48" s="29"/>
      <c r="C48" s="29"/>
      <c r="D48" s="29">
        <f t="shared" si="16"/>
        <v>0</v>
      </c>
      <c r="E48" s="85"/>
      <c r="F48" s="29"/>
      <c r="G48" s="29"/>
      <c r="H48" s="86" t="str">
        <f t="shared" si="17"/>
        <v/>
      </c>
      <c r="I48" s="29">
        <f t="shared" si="18"/>
        <v>0</v>
      </c>
      <c r="J48" s="86" t="str">
        <f t="shared" si="19"/>
        <v/>
      </c>
      <c r="K48" s="29">
        <f t="shared" si="20"/>
        <v>0</v>
      </c>
      <c r="L48" s="87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65"/>
      <c r="B49" s="10"/>
      <c r="C49" s="10"/>
      <c r="D49" s="10">
        <f t="shared" si="16"/>
        <v>0</v>
      </c>
      <c r="E49" s="83"/>
      <c r="F49" s="10"/>
      <c r="G49" s="10"/>
      <c r="H49" s="84" t="str">
        <f t="shared" si="17"/>
        <v/>
      </c>
      <c r="I49" s="10">
        <f t="shared" si="18"/>
        <v>0</v>
      </c>
      <c r="J49" s="84" t="str">
        <f t="shared" si="19"/>
        <v/>
      </c>
      <c r="K49" s="10">
        <f t="shared" si="20"/>
        <v>0</v>
      </c>
      <c r="L49" s="88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27"/>
      <c r="B50" s="29"/>
      <c r="C50" s="29"/>
      <c r="D50" s="29">
        <f t="shared" si="16"/>
        <v>0</v>
      </c>
      <c r="E50" s="85"/>
      <c r="F50" s="29"/>
      <c r="G50" s="29"/>
      <c r="H50" s="86" t="str">
        <f t="shared" si="17"/>
        <v/>
      </c>
      <c r="I50" s="29">
        <f t="shared" si="18"/>
        <v>0</v>
      </c>
      <c r="J50" s="86" t="str">
        <f t="shared" si="19"/>
        <v/>
      </c>
      <c r="K50" s="29">
        <f t="shared" si="20"/>
        <v>0</v>
      </c>
      <c r="L50" s="87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65"/>
      <c r="B51" s="10"/>
      <c r="C51" s="10"/>
      <c r="D51" s="10">
        <f t="shared" si="16"/>
        <v>0</v>
      </c>
      <c r="E51" s="83"/>
      <c r="F51" s="10"/>
      <c r="G51" s="10"/>
      <c r="H51" s="84" t="str">
        <f t="shared" si="17"/>
        <v/>
      </c>
      <c r="I51" s="10">
        <f t="shared" si="18"/>
        <v>0</v>
      </c>
      <c r="J51" s="84" t="str">
        <f t="shared" si="19"/>
        <v/>
      </c>
      <c r="K51" s="10">
        <f t="shared" si="20"/>
        <v>0</v>
      </c>
      <c r="L51" s="88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27"/>
      <c r="B52" s="29"/>
      <c r="C52" s="29"/>
      <c r="D52" s="29">
        <f t="shared" si="16"/>
        <v>0</v>
      </c>
      <c r="E52" s="85"/>
      <c r="F52" s="29"/>
      <c r="G52" s="29"/>
      <c r="H52" s="86" t="str">
        <f t="shared" si="17"/>
        <v/>
      </c>
      <c r="I52" s="29">
        <f t="shared" si="18"/>
        <v>0</v>
      </c>
      <c r="J52" s="86" t="str">
        <f t="shared" si="19"/>
        <v/>
      </c>
      <c r="K52" s="29">
        <f t="shared" si="20"/>
        <v>0</v>
      </c>
      <c r="L52" s="87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98"/>
      <c r="B53" s="10"/>
      <c r="C53" s="10"/>
      <c r="D53" s="99">
        <f t="shared" si="16"/>
        <v>0</v>
      </c>
      <c r="E53" s="100"/>
      <c r="F53" s="99"/>
      <c r="G53" s="99"/>
      <c r="H53" s="101" t="str">
        <f t="shared" si="17"/>
        <v/>
      </c>
      <c r="I53" s="99">
        <f t="shared" si="18"/>
        <v>0</v>
      </c>
      <c r="J53" s="101" t="str">
        <f t="shared" si="19"/>
        <v/>
      </c>
      <c r="K53" s="99">
        <f t="shared" si="20"/>
        <v>0</v>
      </c>
      <c r="L53" s="10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2.5" customHeight="1">
      <c r="A54" s="48" t="s">
        <v>11</v>
      </c>
      <c r="B54" s="136"/>
      <c r="C54" s="136"/>
      <c r="D54" s="89"/>
      <c r="E54" s="90"/>
      <c r="F54" s="91"/>
      <c r="G54" s="91"/>
      <c r="H54" s="92"/>
      <c r="I54" s="89"/>
      <c r="J54" s="92"/>
      <c r="K54" s="89"/>
      <c r="L54" s="8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65"/>
      <c r="B55" s="10">
        <v>500.0</v>
      </c>
      <c r="C55" s="10"/>
      <c r="D55" s="10">
        <f t="shared" ref="D55:D60" si="21">B55+C55</f>
        <v>500</v>
      </c>
      <c r="E55" s="83"/>
      <c r="F55" s="10">
        <v>0.0</v>
      </c>
      <c r="G55" s="10">
        <v>0.0</v>
      </c>
      <c r="H55" s="84">
        <f t="shared" ref="H55:H60" si="22">IF(ISERROR(I55/D55),"",I55/D55)</f>
        <v>0.5</v>
      </c>
      <c r="I55" s="10">
        <f t="shared" ref="I55:I60" si="23">D55*0.5</f>
        <v>250</v>
      </c>
      <c r="J55" s="84">
        <f t="shared" ref="J55:J60" si="24">IF(ISERROR(K55/D55),"",K55/D55)</f>
        <v>0.5</v>
      </c>
      <c r="K55" s="10">
        <f t="shared" ref="K55:K60" si="25">D55-I55</f>
        <v>250</v>
      </c>
      <c r="L55" s="88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27"/>
      <c r="B56" s="29"/>
      <c r="C56" s="29"/>
      <c r="D56" s="29">
        <f t="shared" si="21"/>
        <v>0</v>
      </c>
      <c r="E56" s="85"/>
      <c r="F56" s="29"/>
      <c r="G56" s="29"/>
      <c r="H56" s="86" t="str">
        <f t="shared" si="22"/>
        <v/>
      </c>
      <c r="I56" s="29">
        <f t="shared" si="23"/>
        <v>0</v>
      </c>
      <c r="J56" s="86" t="str">
        <f t="shared" si="24"/>
        <v/>
      </c>
      <c r="K56" s="29">
        <f t="shared" si="25"/>
        <v>0</v>
      </c>
      <c r="L56" s="87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65"/>
      <c r="B57" s="10"/>
      <c r="C57" s="10"/>
      <c r="D57" s="10">
        <f t="shared" si="21"/>
        <v>0</v>
      </c>
      <c r="E57" s="83"/>
      <c r="F57" s="10"/>
      <c r="G57" s="10"/>
      <c r="H57" s="84" t="str">
        <f t="shared" si="22"/>
        <v/>
      </c>
      <c r="I57" s="10">
        <f t="shared" si="23"/>
        <v>0</v>
      </c>
      <c r="J57" s="84" t="str">
        <f t="shared" si="24"/>
        <v/>
      </c>
      <c r="K57" s="10">
        <f t="shared" si="25"/>
        <v>0</v>
      </c>
      <c r="L57" s="88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27"/>
      <c r="B58" s="29"/>
      <c r="C58" s="29"/>
      <c r="D58" s="29">
        <f t="shared" si="21"/>
        <v>0</v>
      </c>
      <c r="E58" s="85"/>
      <c r="F58" s="29"/>
      <c r="G58" s="29"/>
      <c r="H58" s="86" t="str">
        <f t="shared" si="22"/>
        <v/>
      </c>
      <c r="I58" s="29">
        <f t="shared" si="23"/>
        <v>0</v>
      </c>
      <c r="J58" s="86" t="str">
        <f t="shared" si="24"/>
        <v/>
      </c>
      <c r="K58" s="29">
        <f t="shared" si="25"/>
        <v>0</v>
      </c>
      <c r="L58" s="87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65"/>
      <c r="B59" s="10"/>
      <c r="C59" s="10"/>
      <c r="D59" s="10">
        <f t="shared" si="21"/>
        <v>0</v>
      </c>
      <c r="E59" s="83"/>
      <c r="F59" s="10"/>
      <c r="G59" s="10"/>
      <c r="H59" s="84" t="str">
        <f t="shared" si="22"/>
        <v/>
      </c>
      <c r="I59" s="10">
        <f t="shared" si="23"/>
        <v>0</v>
      </c>
      <c r="J59" s="84" t="str">
        <f t="shared" si="24"/>
        <v/>
      </c>
      <c r="K59" s="10">
        <f t="shared" si="25"/>
        <v>0</v>
      </c>
      <c r="L59" s="88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27"/>
      <c r="B60" s="29"/>
      <c r="C60" s="29"/>
      <c r="D60" s="29">
        <f t="shared" si="21"/>
        <v>0</v>
      </c>
      <c r="E60" s="85"/>
      <c r="F60" s="29"/>
      <c r="G60" s="29"/>
      <c r="H60" s="86" t="str">
        <f t="shared" si="22"/>
        <v/>
      </c>
      <c r="I60" s="29">
        <f t="shared" si="23"/>
        <v>0</v>
      </c>
      <c r="J60" s="86" t="str">
        <f t="shared" si="24"/>
        <v/>
      </c>
      <c r="K60" s="29">
        <f t="shared" si="25"/>
        <v>0</v>
      </c>
      <c r="L60" s="87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2.5" customHeight="1">
      <c r="A61" s="48" t="s">
        <v>12</v>
      </c>
      <c r="B61" s="136"/>
      <c r="C61" s="136"/>
      <c r="D61" s="89"/>
      <c r="E61" s="90"/>
      <c r="F61" s="91"/>
      <c r="G61" s="91"/>
      <c r="H61" s="92"/>
      <c r="I61" s="89"/>
      <c r="J61" s="92"/>
      <c r="K61" s="89"/>
      <c r="L61" s="8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65" t="s">
        <v>99</v>
      </c>
      <c r="B62" s="10"/>
      <c r="C62" s="10"/>
      <c r="D62" s="10">
        <f t="shared" ref="D62:D69" si="26">B62+C62</f>
        <v>0</v>
      </c>
      <c r="E62" s="83">
        <v>45536.0</v>
      </c>
      <c r="F62" s="10">
        <v>0.0</v>
      </c>
      <c r="G62" s="10">
        <v>0.0</v>
      </c>
      <c r="H62" s="84" t="str">
        <f t="shared" ref="H62:H69" si="27">IF(ISERROR(I62/D62),"",I62/D62)</f>
        <v/>
      </c>
      <c r="I62" s="10">
        <f t="shared" ref="I62:I69" si="28">D62*0.5</f>
        <v>0</v>
      </c>
      <c r="J62" s="84" t="str">
        <f t="shared" ref="J62:J69" si="29">IF(ISERROR(K62/D62),"",K62/D62)</f>
        <v/>
      </c>
      <c r="K62" s="10">
        <f t="shared" ref="K62:K69" si="30">D62-I62</f>
        <v>0</v>
      </c>
      <c r="L62" s="88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27" t="s">
        <v>100</v>
      </c>
      <c r="B63" s="29"/>
      <c r="C63" s="29"/>
      <c r="D63" s="29">
        <f t="shared" si="26"/>
        <v>0</v>
      </c>
      <c r="E63" s="85"/>
      <c r="F63" s="29"/>
      <c r="G63" s="29"/>
      <c r="H63" s="86" t="str">
        <f t="shared" si="27"/>
        <v/>
      </c>
      <c r="I63" s="29">
        <f t="shared" si="28"/>
        <v>0</v>
      </c>
      <c r="J63" s="86" t="str">
        <f t="shared" si="29"/>
        <v/>
      </c>
      <c r="K63" s="29">
        <f t="shared" si="30"/>
        <v>0</v>
      </c>
      <c r="L63" s="87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65"/>
      <c r="B64" s="10"/>
      <c r="C64" s="10"/>
      <c r="D64" s="10">
        <f t="shared" si="26"/>
        <v>0</v>
      </c>
      <c r="E64" s="83"/>
      <c r="F64" s="10"/>
      <c r="G64" s="10"/>
      <c r="H64" s="84" t="str">
        <f t="shared" si="27"/>
        <v/>
      </c>
      <c r="I64" s="10">
        <f t="shared" si="28"/>
        <v>0</v>
      </c>
      <c r="J64" s="84" t="str">
        <f t="shared" si="29"/>
        <v/>
      </c>
      <c r="K64" s="10">
        <f t="shared" si="30"/>
        <v>0</v>
      </c>
      <c r="L64" s="88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27"/>
      <c r="B65" s="29"/>
      <c r="C65" s="29"/>
      <c r="D65" s="29">
        <f t="shared" si="26"/>
        <v>0</v>
      </c>
      <c r="E65" s="85"/>
      <c r="F65" s="29"/>
      <c r="G65" s="29"/>
      <c r="H65" s="86" t="str">
        <f t="shared" si="27"/>
        <v/>
      </c>
      <c r="I65" s="29">
        <f t="shared" si="28"/>
        <v>0</v>
      </c>
      <c r="J65" s="86" t="str">
        <f t="shared" si="29"/>
        <v/>
      </c>
      <c r="K65" s="29">
        <f t="shared" si="30"/>
        <v>0</v>
      </c>
      <c r="L65" s="87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65"/>
      <c r="B66" s="10"/>
      <c r="C66" s="10"/>
      <c r="D66" s="10">
        <f t="shared" si="26"/>
        <v>0</v>
      </c>
      <c r="E66" s="83"/>
      <c r="F66" s="10"/>
      <c r="G66" s="10"/>
      <c r="H66" s="84" t="str">
        <f t="shared" si="27"/>
        <v/>
      </c>
      <c r="I66" s="10">
        <f t="shared" si="28"/>
        <v>0</v>
      </c>
      <c r="J66" s="84" t="str">
        <f t="shared" si="29"/>
        <v/>
      </c>
      <c r="K66" s="10">
        <f t="shared" si="30"/>
        <v>0</v>
      </c>
      <c r="L66" s="88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27"/>
      <c r="B67" s="29"/>
      <c r="C67" s="29"/>
      <c r="D67" s="29">
        <f t="shared" si="26"/>
        <v>0</v>
      </c>
      <c r="E67" s="85"/>
      <c r="F67" s="29"/>
      <c r="G67" s="29"/>
      <c r="H67" s="86" t="str">
        <f t="shared" si="27"/>
        <v/>
      </c>
      <c r="I67" s="29">
        <f t="shared" si="28"/>
        <v>0</v>
      </c>
      <c r="J67" s="86" t="str">
        <f t="shared" si="29"/>
        <v/>
      </c>
      <c r="K67" s="29">
        <f t="shared" si="30"/>
        <v>0</v>
      </c>
      <c r="L67" s="87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65"/>
      <c r="B68" s="10"/>
      <c r="C68" s="10"/>
      <c r="D68" s="10">
        <f t="shared" si="26"/>
        <v>0</v>
      </c>
      <c r="E68" s="83"/>
      <c r="F68" s="10"/>
      <c r="G68" s="10"/>
      <c r="H68" s="84" t="str">
        <f t="shared" si="27"/>
        <v/>
      </c>
      <c r="I68" s="10">
        <f t="shared" si="28"/>
        <v>0</v>
      </c>
      <c r="J68" s="84" t="str">
        <f t="shared" si="29"/>
        <v/>
      </c>
      <c r="K68" s="10">
        <f t="shared" si="30"/>
        <v>0</v>
      </c>
      <c r="L68" s="88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27"/>
      <c r="B69" s="29"/>
      <c r="C69" s="29"/>
      <c r="D69" s="29">
        <f t="shared" si="26"/>
        <v>0</v>
      </c>
      <c r="E69" s="85"/>
      <c r="F69" s="29"/>
      <c r="G69" s="29"/>
      <c r="H69" s="86" t="str">
        <f t="shared" si="27"/>
        <v/>
      </c>
      <c r="I69" s="29">
        <f t="shared" si="28"/>
        <v>0</v>
      </c>
      <c r="J69" s="86" t="str">
        <f t="shared" si="29"/>
        <v/>
      </c>
      <c r="K69" s="29">
        <f t="shared" si="30"/>
        <v>0</v>
      </c>
      <c r="L69" s="87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2.5" customHeight="1">
      <c r="A70" s="48" t="s">
        <v>13</v>
      </c>
      <c r="B70" s="136"/>
      <c r="C70" s="136"/>
      <c r="D70" s="89"/>
      <c r="E70" s="90"/>
      <c r="F70" s="91"/>
      <c r="G70" s="91"/>
      <c r="H70" s="92"/>
      <c r="I70" s="89"/>
      <c r="J70" s="92"/>
      <c r="K70" s="89"/>
      <c r="L70" s="8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65" t="s">
        <v>67</v>
      </c>
      <c r="B71" s="10"/>
      <c r="C71" s="10"/>
      <c r="D71" s="10">
        <f t="shared" ref="D71:D74" si="31">B71+C71</f>
        <v>0</v>
      </c>
      <c r="E71" s="83"/>
      <c r="F71" s="10">
        <v>0.0</v>
      </c>
      <c r="G71" s="10">
        <v>0.0</v>
      </c>
      <c r="H71" s="84" t="str">
        <f t="shared" ref="H71:H74" si="32">IF(ISERROR(I71/D71),"",I71/D71)</f>
        <v/>
      </c>
      <c r="I71" s="10">
        <f t="shared" ref="I71:I74" si="33">D71*0.5</f>
        <v>0</v>
      </c>
      <c r="J71" s="84" t="str">
        <f t="shared" ref="J71:J74" si="34">IF(ISERROR(K71/D71),"",K71/D71)</f>
        <v/>
      </c>
      <c r="K71" s="10">
        <f t="shared" ref="K71:K74" si="35">D71-I71</f>
        <v>0</v>
      </c>
      <c r="L71" s="88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27" t="s">
        <v>68</v>
      </c>
      <c r="B72" s="29"/>
      <c r="C72" s="29"/>
      <c r="D72" s="29">
        <f t="shared" si="31"/>
        <v>0</v>
      </c>
      <c r="E72" s="85"/>
      <c r="F72" s="29"/>
      <c r="G72" s="29"/>
      <c r="H72" s="86" t="str">
        <f t="shared" si="32"/>
        <v/>
      </c>
      <c r="I72" s="29">
        <f t="shared" si="33"/>
        <v>0</v>
      </c>
      <c r="J72" s="86" t="str">
        <f t="shared" si="34"/>
        <v/>
      </c>
      <c r="K72" s="29">
        <f t="shared" si="35"/>
        <v>0</v>
      </c>
      <c r="L72" s="87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65"/>
      <c r="B73" s="10"/>
      <c r="C73" s="10"/>
      <c r="D73" s="10">
        <f t="shared" si="31"/>
        <v>0</v>
      </c>
      <c r="E73" s="83"/>
      <c r="F73" s="10"/>
      <c r="G73" s="10"/>
      <c r="H73" s="84" t="str">
        <f t="shared" si="32"/>
        <v/>
      </c>
      <c r="I73" s="10">
        <f t="shared" si="33"/>
        <v>0</v>
      </c>
      <c r="J73" s="84" t="str">
        <f t="shared" si="34"/>
        <v/>
      </c>
      <c r="K73" s="10">
        <f t="shared" si="35"/>
        <v>0</v>
      </c>
      <c r="L73" s="88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27"/>
      <c r="B74" s="29"/>
      <c r="C74" s="29"/>
      <c r="D74" s="29">
        <f t="shared" si="31"/>
        <v>0</v>
      </c>
      <c r="E74" s="85"/>
      <c r="F74" s="29"/>
      <c r="G74" s="29"/>
      <c r="H74" s="86" t="str">
        <f t="shared" si="32"/>
        <v/>
      </c>
      <c r="I74" s="29">
        <f t="shared" si="33"/>
        <v>0</v>
      </c>
      <c r="J74" s="86" t="str">
        <f t="shared" si="34"/>
        <v/>
      </c>
      <c r="K74" s="29">
        <f t="shared" si="35"/>
        <v>0</v>
      </c>
      <c r="L74" s="87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2.5" customHeight="1">
      <c r="A75" s="48" t="s">
        <v>14</v>
      </c>
      <c r="B75" s="136"/>
      <c r="C75" s="136"/>
      <c r="D75" s="89"/>
      <c r="E75" s="90"/>
      <c r="F75" s="91"/>
      <c r="G75" s="91"/>
      <c r="H75" s="92"/>
      <c r="I75" s="89"/>
      <c r="J75" s="92"/>
      <c r="K75" s="89"/>
      <c r="L75" s="8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65" t="s">
        <v>69</v>
      </c>
      <c r="B76" s="10"/>
      <c r="C76" s="10"/>
      <c r="D76" s="10">
        <f t="shared" ref="D76:D84" si="36">B76+C76</f>
        <v>0</v>
      </c>
      <c r="E76" s="83"/>
      <c r="F76" s="10">
        <v>0.0</v>
      </c>
      <c r="G76" s="10">
        <v>0.0</v>
      </c>
      <c r="H76" s="84" t="str">
        <f t="shared" ref="H76:H84" si="37">IF(ISERROR(I76/D76),"",I76/D76)</f>
        <v/>
      </c>
      <c r="I76" s="10">
        <f t="shared" ref="I76:I84" si="38">D76*0.5</f>
        <v>0</v>
      </c>
      <c r="J76" s="84" t="str">
        <f t="shared" ref="J76:J84" si="39">IF(ISERROR(K76/D76),"",K76/D76)</f>
        <v/>
      </c>
      <c r="K76" s="10">
        <f t="shared" ref="K76:K84" si="40">D76-I76</f>
        <v>0</v>
      </c>
      <c r="L76" s="88" t="s">
        <v>101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27" t="s">
        <v>102</v>
      </c>
      <c r="B77" s="29"/>
      <c r="C77" s="29"/>
      <c r="D77" s="29">
        <f t="shared" si="36"/>
        <v>0</v>
      </c>
      <c r="E77" s="85"/>
      <c r="F77" s="29"/>
      <c r="G77" s="29"/>
      <c r="H77" s="86" t="str">
        <f t="shared" si="37"/>
        <v/>
      </c>
      <c r="I77" s="29">
        <f t="shared" si="38"/>
        <v>0</v>
      </c>
      <c r="J77" s="86" t="str">
        <f t="shared" si="39"/>
        <v/>
      </c>
      <c r="K77" s="29">
        <f t="shared" si="40"/>
        <v>0</v>
      </c>
      <c r="L77" s="87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65"/>
      <c r="B78" s="10"/>
      <c r="C78" s="10"/>
      <c r="D78" s="10">
        <f t="shared" si="36"/>
        <v>0</v>
      </c>
      <c r="E78" s="83"/>
      <c r="F78" s="10"/>
      <c r="G78" s="10"/>
      <c r="H78" s="84" t="str">
        <f t="shared" si="37"/>
        <v/>
      </c>
      <c r="I78" s="10">
        <f t="shared" si="38"/>
        <v>0</v>
      </c>
      <c r="J78" s="84" t="str">
        <f t="shared" si="39"/>
        <v/>
      </c>
      <c r="K78" s="10">
        <f t="shared" si="40"/>
        <v>0</v>
      </c>
      <c r="L78" s="88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27"/>
      <c r="B79" s="29"/>
      <c r="C79" s="29"/>
      <c r="D79" s="29">
        <f t="shared" si="36"/>
        <v>0</v>
      </c>
      <c r="E79" s="85"/>
      <c r="F79" s="29"/>
      <c r="G79" s="29"/>
      <c r="H79" s="86" t="str">
        <f t="shared" si="37"/>
        <v/>
      </c>
      <c r="I79" s="29">
        <f t="shared" si="38"/>
        <v>0</v>
      </c>
      <c r="J79" s="86" t="str">
        <f t="shared" si="39"/>
        <v/>
      </c>
      <c r="K79" s="29">
        <f t="shared" si="40"/>
        <v>0</v>
      </c>
      <c r="L79" s="87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65"/>
      <c r="B80" s="10"/>
      <c r="C80" s="10"/>
      <c r="D80" s="10">
        <f t="shared" si="36"/>
        <v>0</v>
      </c>
      <c r="E80" s="83"/>
      <c r="F80" s="10"/>
      <c r="G80" s="10"/>
      <c r="H80" s="84" t="str">
        <f t="shared" si="37"/>
        <v/>
      </c>
      <c r="I80" s="10">
        <f t="shared" si="38"/>
        <v>0</v>
      </c>
      <c r="J80" s="84" t="str">
        <f t="shared" si="39"/>
        <v/>
      </c>
      <c r="K80" s="10">
        <f t="shared" si="40"/>
        <v>0</v>
      </c>
      <c r="L80" s="88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27"/>
      <c r="B81" s="29"/>
      <c r="C81" s="29"/>
      <c r="D81" s="29">
        <f t="shared" si="36"/>
        <v>0</v>
      </c>
      <c r="E81" s="85"/>
      <c r="F81" s="29"/>
      <c r="G81" s="29"/>
      <c r="H81" s="86" t="str">
        <f t="shared" si="37"/>
        <v/>
      </c>
      <c r="I81" s="29">
        <f t="shared" si="38"/>
        <v>0</v>
      </c>
      <c r="J81" s="86" t="str">
        <f t="shared" si="39"/>
        <v/>
      </c>
      <c r="K81" s="29">
        <f t="shared" si="40"/>
        <v>0</v>
      </c>
      <c r="L81" s="87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65"/>
      <c r="B82" s="10"/>
      <c r="C82" s="10"/>
      <c r="D82" s="10">
        <f t="shared" si="36"/>
        <v>0</v>
      </c>
      <c r="E82" s="83"/>
      <c r="F82" s="10"/>
      <c r="G82" s="10"/>
      <c r="H82" s="84" t="str">
        <f t="shared" si="37"/>
        <v/>
      </c>
      <c r="I82" s="10">
        <f t="shared" si="38"/>
        <v>0</v>
      </c>
      <c r="J82" s="84" t="str">
        <f t="shared" si="39"/>
        <v/>
      </c>
      <c r="K82" s="10">
        <f t="shared" si="40"/>
        <v>0</v>
      </c>
      <c r="L82" s="88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27"/>
      <c r="B83" s="29"/>
      <c r="C83" s="29"/>
      <c r="D83" s="29">
        <f t="shared" si="36"/>
        <v>0</v>
      </c>
      <c r="E83" s="85"/>
      <c r="F83" s="29"/>
      <c r="G83" s="29"/>
      <c r="H83" s="86" t="str">
        <f t="shared" si="37"/>
        <v/>
      </c>
      <c r="I83" s="29">
        <f t="shared" si="38"/>
        <v>0</v>
      </c>
      <c r="J83" s="86" t="str">
        <f t="shared" si="39"/>
        <v/>
      </c>
      <c r="K83" s="29">
        <f t="shared" si="40"/>
        <v>0</v>
      </c>
      <c r="L83" s="87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65"/>
      <c r="B84" s="10"/>
      <c r="C84" s="10"/>
      <c r="D84" s="10">
        <f t="shared" si="36"/>
        <v>0</v>
      </c>
      <c r="E84" s="83"/>
      <c r="F84" s="10"/>
      <c r="G84" s="10"/>
      <c r="H84" s="84" t="str">
        <f t="shared" si="37"/>
        <v/>
      </c>
      <c r="I84" s="10">
        <f t="shared" si="38"/>
        <v>0</v>
      </c>
      <c r="J84" s="84" t="str">
        <f t="shared" si="39"/>
        <v/>
      </c>
      <c r="K84" s="10">
        <f t="shared" si="40"/>
        <v>0</v>
      </c>
      <c r="L84" s="88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2.5" customHeight="1">
      <c r="A85" s="48" t="s">
        <v>15</v>
      </c>
      <c r="B85" s="136"/>
      <c r="C85" s="136"/>
      <c r="D85" s="89"/>
      <c r="E85" s="90"/>
      <c r="F85" s="91"/>
      <c r="G85" s="91"/>
      <c r="H85" s="92"/>
      <c r="I85" s="89"/>
      <c r="J85" s="92"/>
      <c r="K85" s="89"/>
      <c r="L85" s="8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65" t="s">
        <v>103</v>
      </c>
      <c r="B86" s="10"/>
      <c r="C86" s="10"/>
      <c r="D86" s="10">
        <f t="shared" ref="D86:D100" si="41">B86+C86</f>
        <v>0</v>
      </c>
      <c r="E86" s="83"/>
      <c r="F86" s="10">
        <v>0.0</v>
      </c>
      <c r="G86" s="10">
        <v>0.0</v>
      </c>
      <c r="H86" s="84" t="str">
        <f t="shared" ref="H86:H100" si="42">IF(ISERROR(I86/D86),"",I86/D86)</f>
        <v/>
      </c>
      <c r="I86" s="10">
        <f t="shared" ref="I86:I100" si="43">D86*0.5</f>
        <v>0</v>
      </c>
      <c r="J86" s="84" t="str">
        <f t="shared" ref="J86:J100" si="44">IF(ISERROR(K86/D86),"",K86/D86)</f>
        <v/>
      </c>
      <c r="K86" s="10">
        <f t="shared" ref="K86:K100" si="45">D86-I86</f>
        <v>0</v>
      </c>
      <c r="L86" s="88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27" t="s">
        <v>104</v>
      </c>
      <c r="B87" s="29"/>
      <c r="C87" s="29"/>
      <c r="D87" s="29">
        <f t="shared" si="41"/>
        <v>0</v>
      </c>
      <c r="E87" s="85"/>
      <c r="F87" s="29"/>
      <c r="G87" s="29"/>
      <c r="H87" s="86" t="str">
        <f t="shared" si="42"/>
        <v/>
      </c>
      <c r="I87" s="29">
        <f t="shared" si="43"/>
        <v>0</v>
      </c>
      <c r="J87" s="86" t="str">
        <f t="shared" si="44"/>
        <v/>
      </c>
      <c r="K87" s="29">
        <f t="shared" si="45"/>
        <v>0</v>
      </c>
      <c r="L87" s="87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65" t="s">
        <v>105</v>
      </c>
      <c r="B88" s="10"/>
      <c r="C88" s="10"/>
      <c r="D88" s="10">
        <f t="shared" si="41"/>
        <v>0</v>
      </c>
      <c r="E88" s="83"/>
      <c r="F88" s="10"/>
      <c r="G88" s="10"/>
      <c r="H88" s="84" t="str">
        <f t="shared" si="42"/>
        <v/>
      </c>
      <c r="I88" s="10">
        <f t="shared" si="43"/>
        <v>0</v>
      </c>
      <c r="J88" s="84" t="str">
        <f t="shared" si="44"/>
        <v/>
      </c>
      <c r="K88" s="10">
        <f t="shared" si="45"/>
        <v>0</v>
      </c>
      <c r="L88" s="88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27"/>
      <c r="B89" s="29"/>
      <c r="C89" s="29"/>
      <c r="D89" s="29">
        <f t="shared" si="41"/>
        <v>0</v>
      </c>
      <c r="E89" s="85"/>
      <c r="F89" s="29"/>
      <c r="G89" s="29"/>
      <c r="H89" s="86" t="str">
        <f t="shared" si="42"/>
        <v/>
      </c>
      <c r="I89" s="29">
        <f t="shared" si="43"/>
        <v>0</v>
      </c>
      <c r="J89" s="86" t="str">
        <f t="shared" si="44"/>
        <v/>
      </c>
      <c r="K89" s="29">
        <f t="shared" si="45"/>
        <v>0</v>
      </c>
      <c r="L89" s="87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65"/>
      <c r="B90" s="10"/>
      <c r="C90" s="10"/>
      <c r="D90" s="10">
        <f t="shared" si="41"/>
        <v>0</v>
      </c>
      <c r="E90" s="83"/>
      <c r="F90" s="10"/>
      <c r="G90" s="10"/>
      <c r="H90" s="84" t="str">
        <f t="shared" si="42"/>
        <v/>
      </c>
      <c r="I90" s="10">
        <f t="shared" si="43"/>
        <v>0</v>
      </c>
      <c r="J90" s="84" t="str">
        <f t="shared" si="44"/>
        <v/>
      </c>
      <c r="K90" s="10">
        <f t="shared" si="45"/>
        <v>0</v>
      </c>
      <c r="L90" s="88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27"/>
      <c r="B91" s="29"/>
      <c r="C91" s="29"/>
      <c r="D91" s="29">
        <f t="shared" si="41"/>
        <v>0</v>
      </c>
      <c r="E91" s="85"/>
      <c r="F91" s="29"/>
      <c r="G91" s="29"/>
      <c r="H91" s="86" t="str">
        <f t="shared" si="42"/>
        <v/>
      </c>
      <c r="I91" s="29">
        <f t="shared" si="43"/>
        <v>0</v>
      </c>
      <c r="J91" s="86" t="str">
        <f t="shared" si="44"/>
        <v/>
      </c>
      <c r="K91" s="29">
        <f t="shared" si="45"/>
        <v>0</v>
      </c>
      <c r="L91" s="87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65"/>
      <c r="B92" s="10"/>
      <c r="C92" s="10"/>
      <c r="D92" s="10">
        <f t="shared" si="41"/>
        <v>0</v>
      </c>
      <c r="E92" s="83"/>
      <c r="F92" s="10"/>
      <c r="G92" s="10"/>
      <c r="H92" s="84" t="str">
        <f t="shared" si="42"/>
        <v/>
      </c>
      <c r="I92" s="10">
        <f t="shared" si="43"/>
        <v>0</v>
      </c>
      <c r="J92" s="84" t="str">
        <f t="shared" si="44"/>
        <v/>
      </c>
      <c r="K92" s="10">
        <f t="shared" si="45"/>
        <v>0</v>
      </c>
      <c r="L92" s="88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27"/>
      <c r="B93" s="29"/>
      <c r="C93" s="29"/>
      <c r="D93" s="29">
        <f t="shared" si="41"/>
        <v>0</v>
      </c>
      <c r="E93" s="85"/>
      <c r="F93" s="29"/>
      <c r="G93" s="29"/>
      <c r="H93" s="86" t="str">
        <f t="shared" si="42"/>
        <v/>
      </c>
      <c r="I93" s="29">
        <f t="shared" si="43"/>
        <v>0</v>
      </c>
      <c r="J93" s="86" t="str">
        <f t="shared" si="44"/>
        <v/>
      </c>
      <c r="K93" s="29">
        <f t="shared" si="45"/>
        <v>0</v>
      </c>
      <c r="L93" s="87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65"/>
      <c r="B94" s="10"/>
      <c r="C94" s="10"/>
      <c r="D94" s="10">
        <f t="shared" si="41"/>
        <v>0</v>
      </c>
      <c r="E94" s="83"/>
      <c r="F94" s="10"/>
      <c r="G94" s="10"/>
      <c r="H94" s="84" t="str">
        <f t="shared" si="42"/>
        <v/>
      </c>
      <c r="I94" s="10">
        <f t="shared" si="43"/>
        <v>0</v>
      </c>
      <c r="J94" s="84" t="str">
        <f t="shared" si="44"/>
        <v/>
      </c>
      <c r="K94" s="10">
        <f t="shared" si="45"/>
        <v>0</v>
      </c>
      <c r="L94" s="88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27"/>
      <c r="B95" s="29"/>
      <c r="C95" s="29"/>
      <c r="D95" s="29">
        <f t="shared" si="41"/>
        <v>0</v>
      </c>
      <c r="E95" s="85"/>
      <c r="F95" s="29"/>
      <c r="G95" s="29"/>
      <c r="H95" s="86" t="str">
        <f t="shared" si="42"/>
        <v/>
      </c>
      <c r="I95" s="29">
        <f t="shared" si="43"/>
        <v>0</v>
      </c>
      <c r="J95" s="86" t="str">
        <f t="shared" si="44"/>
        <v/>
      </c>
      <c r="K95" s="29">
        <f t="shared" si="45"/>
        <v>0</v>
      </c>
      <c r="L95" s="87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65"/>
      <c r="B96" s="10"/>
      <c r="C96" s="10"/>
      <c r="D96" s="10">
        <f t="shared" si="41"/>
        <v>0</v>
      </c>
      <c r="E96" s="83"/>
      <c r="F96" s="10"/>
      <c r="G96" s="10"/>
      <c r="H96" s="84" t="str">
        <f t="shared" si="42"/>
        <v/>
      </c>
      <c r="I96" s="10">
        <f t="shared" si="43"/>
        <v>0</v>
      </c>
      <c r="J96" s="84" t="str">
        <f t="shared" si="44"/>
        <v/>
      </c>
      <c r="K96" s="10">
        <f t="shared" si="45"/>
        <v>0</v>
      </c>
      <c r="L96" s="8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27"/>
      <c r="B97" s="29"/>
      <c r="C97" s="29"/>
      <c r="D97" s="29">
        <f t="shared" si="41"/>
        <v>0</v>
      </c>
      <c r="E97" s="85"/>
      <c r="F97" s="29"/>
      <c r="G97" s="29"/>
      <c r="H97" s="86" t="str">
        <f t="shared" si="42"/>
        <v/>
      </c>
      <c r="I97" s="29">
        <f t="shared" si="43"/>
        <v>0</v>
      </c>
      <c r="J97" s="86" t="str">
        <f t="shared" si="44"/>
        <v/>
      </c>
      <c r="K97" s="29">
        <f t="shared" si="45"/>
        <v>0</v>
      </c>
      <c r="L97" s="87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65"/>
      <c r="B98" s="10"/>
      <c r="C98" s="10"/>
      <c r="D98" s="10">
        <f t="shared" si="41"/>
        <v>0</v>
      </c>
      <c r="E98" s="83"/>
      <c r="F98" s="10"/>
      <c r="G98" s="10"/>
      <c r="H98" s="84" t="str">
        <f t="shared" si="42"/>
        <v/>
      </c>
      <c r="I98" s="10">
        <f t="shared" si="43"/>
        <v>0</v>
      </c>
      <c r="J98" s="84" t="str">
        <f t="shared" si="44"/>
        <v/>
      </c>
      <c r="K98" s="10">
        <f t="shared" si="45"/>
        <v>0</v>
      </c>
      <c r="L98" s="88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27"/>
      <c r="B99" s="29"/>
      <c r="C99" s="29"/>
      <c r="D99" s="29">
        <f t="shared" si="41"/>
        <v>0</v>
      </c>
      <c r="E99" s="85"/>
      <c r="F99" s="29"/>
      <c r="G99" s="29"/>
      <c r="H99" s="86" t="str">
        <f t="shared" si="42"/>
        <v/>
      </c>
      <c r="I99" s="29">
        <f t="shared" si="43"/>
        <v>0</v>
      </c>
      <c r="J99" s="86" t="str">
        <f t="shared" si="44"/>
        <v/>
      </c>
      <c r="K99" s="29">
        <f t="shared" si="45"/>
        <v>0</v>
      </c>
      <c r="L99" s="87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65"/>
      <c r="B100" s="10"/>
      <c r="C100" s="10"/>
      <c r="D100" s="10">
        <f t="shared" si="41"/>
        <v>0</v>
      </c>
      <c r="E100" s="83"/>
      <c r="F100" s="10"/>
      <c r="G100" s="10"/>
      <c r="H100" s="84" t="str">
        <f t="shared" si="42"/>
        <v/>
      </c>
      <c r="I100" s="10">
        <f t="shared" si="43"/>
        <v>0</v>
      </c>
      <c r="J100" s="84" t="str">
        <f t="shared" si="44"/>
        <v/>
      </c>
      <c r="K100" s="10">
        <f t="shared" si="45"/>
        <v>0</v>
      </c>
      <c r="L100" s="8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2.5" customHeight="1">
      <c r="A101" s="103" t="s">
        <v>16</v>
      </c>
      <c r="B101" s="138"/>
      <c r="C101" s="138"/>
      <c r="D101" s="89"/>
      <c r="E101" s="90"/>
      <c r="F101" s="91"/>
      <c r="G101" s="91"/>
      <c r="H101" s="92"/>
      <c r="I101" s="89"/>
      <c r="J101" s="92"/>
      <c r="K101" s="89"/>
      <c r="L101" s="8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65"/>
      <c r="B102" s="10"/>
      <c r="C102" s="10"/>
      <c r="D102" s="10">
        <f t="shared" ref="D102:D107" si="46">B102+C102</f>
        <v>0</v>
      </c>
      <c r="E102" s="83"/>
      <c r="F102" s="10">
        <v>0.0</v>
      </c>
      <c r="G102" s="10">
        <v>0.0</v>
      </c>
      <c r="H102" s="84" t="str">
        <f t="shared" ref="H102:H107" si="47">IF(ISERROR(I102/D102),"",I102/D102)</f>
        <v/>
      </c>
      <c r="I102" s="10">
        <f t="shared" ref="I102:I107" si="48">D102*0.5</f>
        <v>0</v>
      </c>
      <c r="J102" s="84" t="str">
        <f t="shared" ref="J102:J107" si="49">IF(ISERROR(K102/D102),"",K102/D102)</f>
        <v/>
      </c>
      <c r="K102" s="10">
        <f t="shared" ref="K102:K107" si="50">D102-I102</f>
        <v>0</v>
      </c>
      <c r="L102" s="8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27"/>
      <c r="B103" s="29"/>
      <c r="C103" s="29"/>
      <c r="D103" s="29">
        <f t="shared" si="46"/>
        <v>0</v>
      </c>
      <c r="E103" s="85"/>
      <c r="F103" s="29"/>
      <c r="G103" s="29"/>
      <c r="H103" s="86" t="str">
        <f t="shared" si="47"/>
        <v/>
      </c>
      <c r="I103" s="29">
        <f t="shared" si="48"/>
        <v>0</v>
      </c>
      <c r="J103" s="86" t="str">
        <f t="shared" si="49"/>
        <v/>
      </c>
      <c r="K103" s="29">
        <f t="shared" si="50"/>
        <v>0</v>
      </c>
      <c r="L103" s="87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65"/>
      <c r="B104" s="10"/>
      <c r="C104" s="10"/>
      <c r="D104" s="10">
        <f t="shared" si="46"/>
        <v>0</v>
      </c>
      <c r="E104" s="83"/>
      <c r="F104" s="10"/>
      <c r="G104" s="10"/>
      <c r="H104" s="84" t="str">
        <f t="shared" si="47"/>
        <v/>
      </c>
      <c r="I104" s="10">
        <f t="shared" si="48"/>
        <v>0</v>
      </c>
      <c r="J104" s="84" t="str">
        <f t="shared" si="49"/>
        <v/>
      </c>
      <c r="K104" s="10">
        <f t="shared" si="50"/>
        <v>0</v>
      </c>
      <c r="L104" s="88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27"/>
      <c r="B105" s="29"/>
      <c r="C105" s="29"/>
      <c r="D105" s="29">
        <f t="shared" si="46"/>
        <v>0</v>
      </c>
      <c r="E105" s="85"/>
      <c r="F105" s="29"/>
      <c r="G105" s="29"/>
      <c r="H105" s="86" t="str">
        <f t="shared" si="47"/>
        <v/>
      </c>
      <c r="I105" s="29">
        <f t="shared" si="48"/>
        <v>0</v>
      </c>
      <c r="J105" s="86" t="str">
        <f t="shared" si="49"/>
        <v/>
      </c>
      <c r="K105" s="29">
        <f t="shared" si="50"/>
        <v>0</v>
      </c>
      <c r="L105" s="87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65"/>
      <c r="B106" s="10"/>
      <c r="C106" s="10"/>
      <c r="D106" s="10">
        <f t="shared" si="46"/>
        <v>0</v>
      </c>
      <c r="E106" s="83"/>
      <c r="F106" s="10"/>
      <c r="G106" s="10"/>
      <c r="H106" s="84" t="str">
        <f t="shared" si="47"/>
        <v/>
      </c>
      <c r="I106" s="10">
        <f t="shared" si="48"/>
        <v>0</v>
      </c>
      <c r="J106" s="84" t="str">
        <f t="shared" si="49"/>
        <v/>
      </c>
      <c r="K106" s="10">
        <f t="shared" si="50"/>
        <v>0</v>
      </c>
      <c r="L106" s="88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27"/>
      <c r="B107" s="29"/>
      <c r="C107" s="29"/>
      <c r="D107" s="29">
        <f t="shared" si="46"/>
        <v>0</v>
      </c>
      <c r="E107" s="85"/>
      <c r="F107" s="29"/>
      <c r="G107" s="29"/>
      <c r="H107" s="86" t="str">
        <f t="shared" si="47"/>
        <v/>
      </c>
      <c r="I107" s="29">
        <f t="shared" si="48"/>
        <v>0</v>
      </c>
      <c r="J107" s="86" t="str">
        <f t="shared" si="49"/>
        <v/>
      </c>
      <c r="K107" s="29">
        <f t="shared" si="50"/>
        <v>0</v>
      </c>
      <c r="L107" s="87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2.5" customHeight="1">
      <c r="A108" s="103" t="s">
        <v>17</v>
      </c>
      <c r="B108" s="138"/>
      <c r="C108" s="138"/>
      <c r="D108" s="89"/>
      <c r="E108" s="90"/>
      <c r="F108" s="91"/>
      <c r="G108" s="91"/>
      <c r="H108" s="92"/>
      <c r="I108" s="89"/>
      <c r="J108" s="92"/>
      <c r="K108" s="89"/>
      <c r="L108" s="8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65"/>
      <c r="B109" s="10"/>
      <c r="C109" s="10"/>
      <c r="D109" s="10">
        <f t="shared" ref="D109:D116" si="51">B109+C109</f>
        <v>0</v>
      </c>
      <c r="E109" s="83"/>
      <c r="F109" s="10">
        <v>0.0</v>
      </c>
      <c r="G109" s="10">
        <v>0.0</v>
      </c>
      <c r="H109" s="84" t="str">
        <f t="shared" ref="H109:H116" si="52">IF(ISERROR(I109/D109),"",I109/D109)</f>
        <v/>
      </c>
      <c r="I109" s="10">
        <f t="shared" ref="I109:I116" si="53">D109*0.5</f>
        <v>0</v>
      </c>
      <c r="J109" s="84" t="str">
        <f t="shared" ref="J109:J116" si="54">IF(ISERROR(K109/D109),"",K109/D109)</f>
        <v/>
      </c>
      <c r="K109" s="10">
        <f t="shared" ref="K109:K116" si="55">D109-I109</f>
        <v>0</v>
      </c>
      <c r="L109" s="88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27"/>
      <c r="B110" s="29"/>
      <c r="C110" s="29"/>
      <c r="D110" s="29">
        <f t="shared" si="51"/>
        <v>0</v>
      </c>
      <c r="E110" s="85"/>
      <c r="F110" s="29"/>
      <c r="G110" s="29"/>
      <c r="H110" s="86" t="str">
        <f t="shared" si="52"/>
        <v/>
      </c>
      <c r="I110" s="29">
        <f t="shared" si="53"/>
        <v>0</v>
      </c>
      <c r="J110" s="86" t="str">
        <f t="shared" si="54"/>
        <v/>
      </c>
      <c r="K110" s="29">
        <f t="shared" si="55"/>
        <v>0</v>
      </c>
      <c r="L110" s="87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65"/>
      <c r="B111" s="10"/>
      <c r="C111" s="10"/>
      <c r="D111" s="10">
        <f t="shared" si="51"/>
        <v>0</v>
      </c>
      <c r="E111" s="83"/>
      <c r="F111" s="10"/>
      <c r="G111" s="10"/>
      <c r="H111" s="84" t="str">
        <f t="shared" si="52"/>
        <v/>
      </c>
      <c r="I111" s="10">
        <f t="shared" si="53"/>
        <v>0</v>
      </c>
      <c r="J111" s="84" t="str">
        <f t="shared" si="54"/>
        <v/>
      </c>
      <c r="K111" s="10">
        <f t="shared" si="55"/>
        <v>0</v>
      </c>
      <c r="L111" s="88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27"/>
      <c r="B112" s="29"/>
      <c r="C112" s="29"/>
      <c r="D112" s="29">
        <f t="shared" si="51"/>
        <v>0</v>
      </c>
      <c r="E112" s="85"/>
      <c r="F112" s="29"/>
      <c r="G112" s="29"/>
      <c r="H112" s="86" t="str">
        <f t="shared" si="52"/>
        <v/>
      </c>
      <c r="I112" s="29">
        <f t="shared" si="53"/>
        <v>0</v>
      </c>
      <c r="J112" s="86" t="str">
        <f t="shared" si="54"/>
        <v/>
      </c>
      <c r="K112" s="29">
        <f t="shared" si="55"/>
        <v>0</v>
      </c>
      <c r="L112" s="87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65"/>
      <c r="B113" s="10"/>
      <c r="C113" s="10"/>
      <c r="D113" s="10">
        <f t="shared" si="51"/>
        <v>0</v>
      </c>
      <c r="E113" s="83"/>
      <c r="F113" s="10"/>
      <c r="G113" s="10"/>
      <c r="H113" s="84" t="str">
        <f t="shared" si="52"/>
        <v/>
      </c>
      <c r="I113" s="10">
        <f t="shared" si="53"/>
        <v>0</v>
      </c>
      <c r="J113" s="84" t="str">
        <f t="shared" si="54"/>
        <v/>
      </c>
      <c r="K113" s="10">
        <f t="shared" si="55"/>
        <v>0</v>
      </c>
      <c r="L113" s="88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27"/>
      <c r="B114" s="29"/>
      <c r="C114" s="29"/>
      <c r="D114" s="29">
        <f t="shared" si="51"/>
        <v>0</v>
      </c>
      <c r="E114" s="85"/>
      <c r="F114" s="29"/>
      <c r="G114" s="29"/>
      <c r="H114" s="86" t="str">
        <f t="shared" si="52"/>
        <v/>
      </c>
      <c r="I114" s="29">
        <f t="shared" si="53"/>
        <v>0</v>
      </c>
      <c r="J114" s="86" t="str">
        <f t="shared" si="54"/>
        <v/>
      </c>
      <c r="K114" s="29">
        <f t="shared" si="55"/>
        <v>0</v>
      </c>
      <c r="L114" s="87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65"/>
      <c r="B115" s="10"/>
      <c r="C115" s="10"/>
      <c r="D115" s="10">
        <f t="shared" si="51"/>
        <v>0</v>
      </c>
      <c r="E115" s="83"/>
      <c r="F115" s="10"/>
      <c r="G115" s="10"/>
      <c r="H115" s="84" t="str">
        <f t="shared" si="52"/>
        <v/>
      </c>
      <c r="I115" s="10">
        <f t="shared" si="53"/>
        <v>0</v>
      </c>
      <c r="J115" s="84" t="str">
        <f t="shared" si="54"/>
        <v/>
      </c>
      <c r="K115" s="10">
        <f t="shared" si="55"/>
        <v>0</v>
      </c>
      <c r="L115" s="88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27"/>
      <c r="B116" s="29"/>
      <c r="C116" s="29"/>
      <c r="D116" s="29">
        <f t="shared" si="51"/>
        <v>0</v>
      </c>
      <c r="E116" s="85"/>
      <c r="F116" s="29"/>
      <c r="G116" s="29"/>
      <c r="H116" s="86" t="str">
        <f t="shared" si="52"/>
        <v/>
      </c>
      <c r="I116" s="29">
        <f t="shared" si="53"/>
        <v>0</v>
      </c>
      <c r="J116" s="86" t="str">
        <f t="shared" si="54"/>
        <v/>
      </c>
      <c r="K116" s="29">
        <f t="shared" si="55"/>
        <v>0</v>
      </c>
      <c r="L116" s="87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2.5" customHeight="1">
      <c r="A117" s="103" t="s">
        <v>18</v>
      </c>
      <c r="B117" s="138"/>
      <c r="C117" s="138"/>
      <c r="D117" s="89"/>
      <c r="E117" s="90"/>
      <c r="F117" s="91"/>
      <c r="G117" s="91"/>
      <c r="H117" s="92"/>
      <c r="I117" s="89"/>
      <c r="J117" s="92"/>
      <c r="K117" s="89"/>
      <c r="L117" s="8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65"/>
      <c r="B118" s="10"/>
      <c r="C118" s="10"/>
      <c r="D118" s="10">
        <f t="shared" ref="D118:D121" si="56">B118+C118</f>
        <v>0</v>
      </c>
      <c r="E118" s="83"/>
      <c r="F118" s="10">
        <v>0.0</v>
      </c>
      <c r="G118" s="10">
        <v>0.0</v>
      </c>
      <c r="H118" s="84" t="str">
        <f t="shared" ref="H118:H121" si="57">IF(ISERROR(I118/D118),"",I118/D118)</f>
        <v/>
      </c>
      <c r="I118" s="10">
        <f t="shared" ref="I118:I121" si="58">D118*0.5</f>
        <v>0</v>
      </c>
      <c r="J118" s="84" t="str">
        <f t="shared" ref="J118:J121" si="59">IF(ISERROR(K118/D118),"",K118/D118)</f>
        <v/>
      </c>
      <c r="K118" s="10">
        <f t="shared" ref="K118:K121" si="60">D118-I118</f>
        <v>0</v>
      </c>
      <c r="L118" s="88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27"/>
      <c r="B119" s="29"/>
      <c r="C119" s="29"/>
      <c r="D119" s="29">
        <f t="shared" si="56"/>
        <v>0</v>
      </c>
      <c r="E119" s="85"/>
      <c r="F119" s="29"/>
      <c r="G119" s="29"/>
      <c r="H119" s="86" t="str">
        <f t="shared" si="57"/>
        <v/>
      </c>
      <c r="I119" s="29">
        <f t="shared" si="58"/>
        <v>0</v>
      </c>
      <c r="J119" s="86" t="str">
        <f t="shared" si="59"/>
        <v/>
      </c>
      <c r="K119" s="29">
        <f t="shared" si="60"/>
        <v>0</v>
      </c>
      <c r="L119" s="87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65"/>
      <c r="B120" s="10"/>
      <c r="C120" s="10"/>
      <c r="D120" s="10">
        <f t="shared" si="56"/>
        <v>0</v>
      </c>
      <c r="E120" s="83"/>
      <c r="F120" s="10"/>
      <c r="G120" s="10"/>
      <c r="H120" s="84" t="str">
        <f t="shared" si="57"/>
        <v/>
      </c>
      <c r="I120" s="10">
        <f t="shared" si="58"/>
        <v>0</v>
      </c>
      <c r="J120" s="84" t="str">
        <f t="shared" si="59"/>
        <v/>
      </c>
      <c r="K120" s="10">
        <f t="shared" si="60"/>
        <v>0</v>
      </c>
      <c r="L120" s="88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27"/>
      <c r="B121" s="29"/>
      <c r="C121" s="29"/>
      <c r="D121" s="29">
        <f t="shared" si="56"/>
        <v>0</v>
      </c>
      <c r="E121" s="85"/>
      <c r="F121" s="29"/>
      <c r="G121" s="29"/>
      <c r="H121" s="86" t="str">
        <f t="shared" si="57"/>
        <v/>
      </c>
      <c r="I121" s="29">
        <f t="shared" si="58"/>
        <v>0</v>
      </c>
      <c r="J121" s="86" t="str">
        <f t="shared" si="59"/>
        <v/>
      </c>
      <c r="K121" s="29">
        <f t="shared" si="60"/>
        <v>0</v>
      </c>
      <c r="L121" s="87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2.5" customHeight="1">
      <c r="A122" s="103" t="s">
        <v>19</v>
      </c>
      <c r="B122" s="138"/>
      <c r="C122" s="138"/>
      <c r="D122" s="89"/>
      <c r="E122" s="90"/>
      <c r="F122" s="91"/>
      <c r="G122" s="91"/>
      <c r="H122" s="92"/>
      <c r="I122" s="89"/>
      <c r="J122" s="92"/>
      <c r="K122" s="89"/>
      <c r="L122" s="8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65" t="s">
        <v>82</v>
      </c>
      <c r="B123" s="10"/>
      <c r="C123" s="10"/>
      <c r="D123" s="10">
        <f t="shared" ref="D123:D127" si="61">B123+C123</f>
        <v>0</v>
      </c>
      <c r="E123" s="83"/>
      <c r="F123" s="10">
        <v>0.0</v>
      </c>
      <c r="G123" s="10">
        <v>0.0</v>
      </c>
      <c r="H123" s="84" t="str">
        <f t="shared" ref="H123:H127" si="62">IF(ISERROR(I123/D123),"",I123/D123)</f>
        <v/>
      </c>
      <c r="I123" s="10">
        <f t="shared" ref="I123:I127" si="63">D123*0.5</f>
        <v>0</v>
      </c>
      <c r="J123" s="84" t="str">
        <f t="shared" ref="J123:J127" si="64">IF(ISERROR(K123/D123),"",K123/D123)</f>
        <v/>
      </c>
      <c r="K123" s="10">
        <f t="shared" ref="K123:K127" si="65">D123-I123</f>
        <v>0</v>
      </c>
      <c r="L123" s="88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27" t="s">
        <v>83</v>
      </c>
      <c r="B124" s="29"/>
      <c r="C124" s="29"/>
      <c r="D124" s="29">
        <f t="shared" si="61"/>
        <v>0</v>
      </c>
      <c r="E124" s="85"/>
      <c r="F124" s="29"/>
      <c r="G124" s="29"/>
      <c r="H124" s="86" t="str">
        <f t="shared" si="62"/>
        <v/>
      </c>
      <c r="I124" s="29">
        <f t="shared" si="63"/>
        <v>0</v>
      </c>
      <c r="J124" s="86" t="str">
        <f t="shared" si="64"/>
        <v/>
      </c>
      <c r="K124" s="29">
        <f t="shared" si="65"/>
        <v>0</v>
      </c>
      <c r="L124" s="87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65" t="s">
        <v>84</v>
      </c>
      <c r="B125" s="10"/>
      <c r="C125" s="10"/>
      <c r="D125" s="10">
        <f t="shared" si="61"/>
        <v>0</v>
      </c>
      <c r="E125" s="83"/>
      <c r="F125" s="10"/>
      <c r="G125" s="10"/>
      <c r="H125" s="84" t="str">
        <f t="shared" si="62"/>
        <v/>
      </c>
      <c r="I125" s="10">
        <f t="shared" si="63"/>
        <v>0</v>
      </c>
      <c r="J125" s="84" t="str">
        <f t="shared" si="64"/>
        <v/>
      </c>
      <c r="K125" s="10">
        <f t="shared" si="65"/>
        <v>0</v>
      </c>
      <c r="L125" s="88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27" t="s">
        <v>85</v>
      </c>
      <c r="B126" s="29"/>
      <c r="C126" s="29"/>
      <c r="D126" s="29">
        <f t="shared" si="61"/>
        <v>0</v>
      </c>
      <c r="E126" s="85"/>
      <c r="F126" s="29"/>
      <c r="G126" s="29"/>
      <c r="H126" s="86" t="str">
        <f t="shared" si="62"/>
        <v/>
      </c>
      <c r="I126" s="29">
        <f t="shared" si="63"/>
        <v>0</v>
      </c>
      <c r="J126" s="86" t="str">
        <f t="shared" si="64"/>
        <v/>
      </c>
      <c r="K126" s="29">
        <f t="shared" si="65"/>
        <v>0</v>
      </c>
      <c r="L126" s="87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04"/>
      <c r="B127" s="10"/>
      <c r="C127" s="10"/>
      <c r="D127" s="18">
        <f t="shared" si="61"/>
        <v>0</v>
      </c>
      <c r="E127" s="105"/>
      <c r="F127" s="18"/>
      <c r="G127" s="18"/>
      <c r="H127" s="106" t="str">
        <f t="shared" si="62"/>
        <v/>
      </c>
      <c r="I127" s="18">
        <f t="shared" si="63"/>
        <v>0</v>
      </c>
      <c r="J127" s="106" t="str">
        <f t="shared" si="64"/>
        <v/>
      </c>
      <c r="K127" s="18">
        <f t="shared" si="65"/>
        <v>0</v>
      </c>
      <c r="L127" s="107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36.0" customHeight="1">
      <c r="A128" s="108" t="s">
        <v>20</v>
      </c>
      <c r="B128" s="23">
        <f t="shared" ref="B128:D128" si="66">SUM(B5:B127)</f>
        <v>2644275</v>
      </c>
      <c r="C128" s="23">
        <f t="shared" si="66"/>
        <v>-655000</v>
      </c>
      <c r="D128" s="23">
        <f t="shared" si="66"/>
        <v>1989275</v>
      </c>
      <c r="E128" s="109"/>
      <c r="F128" s="110">
        <f t="shared" ref="F128:G128" si="67">SUM(F5:F127)</f>
        <v>1000</v>
      </c>
      <c r="G128" s="110">
        <f t="shared" si="67"/>
        <v>1500</v>
      </c>
      <c r="H128" s="111"/>
      <c r="I128" s="23">
        <f>SUM(I5:I127)</f>
        <v>994637.5</v>
      </c>
      <c r="J128" s="111"/>
      <c r="K128" s="23">
        <f>SUM(K5:K127)</f>
        <v>994637.5</v>
      </c>
      <c r="L128" s="11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0" customHeight="1">
      <c r="A129" s="27" t="s">
        <v>106</v>
      </c>
      <c r="B129" s="137"/>
      <c r="C129" s="137"/>
      <c r="D129" s="29"/>
      <c r="E129" s="85"/>
      <c r="F129" s="29"/>
      <c r="G129" s="29"/>
      <c r="H129" s="86"/>
      <c r="I129" s="29"/>
      <c r="J129" s="29">
        <f>I128-K128</f>
        <v>0</v>
      </c>
      <c r="K129" s="29"/>
      <c r="L129" s="87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9.5" customHeight="1">
      <c r="A130" s="27" t="s">
        <v>107</v>
      </c>
      <c r="B130" s="137"/>
      <c r="C130" s="137"/>
      <c r="D130" s="29"/>
      <c r="E130" s="85"/>
      <c r="F130" s="29"/>
      <c r="G130" s="29"/>
      <c r="H130" s="86"/>
      <c r="I130" s="29"/>
      <c r="J130" s="29">
        <f>J129/2</f>
        <v>0</v>
      </c>
      <c r="K130" s="29"/>
      <c r="L130" s="87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7.5" customHeight="1">
      <c r="A131" s="113"/>
      <c r="B131" s="139"/>
      <c r="C131" s="139"/>
      <c r="D131" s="10"/>
      <c r="E131" s="83"/>
      <c r="F131" s="10"/>
      <c r="G131" s="10"/>
      <c r="H131" s="84"/>
      <c r="I131" s="10"/>
      <c r="J131" s="84"/>
      <c r="K131" s="10"/>
      <c r="L131" s="88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32" t="s">
        <v>108</v>
      </c>
      <c r="B132" s="140"/>
      <c r="C132" s="140"/>
      <c r="D132" s="34"/>
      <c r="E132" s="114"/>
      <c r="F132" s="34"/>
      <c r="G132" s="34"/>
      <c r="H132" s="115"/>
      <c r="I132" s="116">
        <v>0.0</v>
      </c>
      <c r="J132" s="115"/>
      <c r="K132" s="116">
        <f>I132*-1</f>
        <v>0</v>
      </c>
      <c r="L132" s="117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32" t="s">
        <v>25</v>
      </c>
      <c r="B133" s="140"/>
      <c r="C133" s="140"/>
      <c r="D133" s="39"/>
      <c r="E133" s="114"/>
      <c r="F133" s="34"/>
      <c r="G133" s="34"/>
      <c r="H133" s="115"/>
      <c r="I133" s="116">
        <f>I128+I132</f>
        <v>994637.5</v>
      </c>
      <c r="J133" s="115"/>
      <c r="K133" s="116">
        <f>K128+K132</f>
        <v>994637.5</v>
      </c>
      <c r="L133" s="117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42"/>
      <c r="B134" s="141"/>
      <c r="C134" s="141"/>
      <c r="D134" s="44"/>
      <c r="E134" s="118"/>
      <c r="F134" s="58"/>
      <c r="G134" s="58"/>
      <c r="H134" s="119"/>
      <c r="I134" s="120">
        <f>IF(ISERROR(I133/D128),0,I133/D128)</f>
        <v>0.5</v>
      </c>
      <c r="J134" s="119"/>
      <c r="K134" s="120">
        <f>IF(ISERROR(K133/D128),0,K133/D128)</f>
        <v>0.5</v>
      </c>
      <c r="L134" s="12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2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3.25" customHeight="1">
      <c r="A136" s="48" t="s">
        <v>28</v>
      </c>
      <c r="B136" s="136"/>
      <c r="C136" s="136"/>
      <c r="D136" s="89"/>
      <c r="E136" s="90"/>
      <c r="F136" s="91"/>
      <c r="G136" s="91"/>
      <c r="H136" s="92"/>
      <c r="I136" s="89"/>
      <c r="J136" s="92"/>
      <c r="K136" s="89"/>
      <c r="L136" s="8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22"/>
      <c r="B137" s="123"/>
      <c r="C137" s="123"/>
      <c r="D137" s="123">
        <f t="shared" ref="D137:D148" si="68">B137+C137</f>
        <v>0</v>
      </c>
      <c r="E137" s="124"/>
      <c r="F137" s="123">
        <v>0.0</v>
      </c>
      <c r="G137" s="123">
        <v>0.0</v>
      </c>
      <c r="H137" s="125" t="str">
        <f t="shared" ref="H137:H148" si="69">IF(ISERROR(I137/D137),"",I137/D137)</f>
        <v/>
      </c>
      <c r="I137" s="123">
        <f t="shared" ref="I137:I148" si="70">D137*0.5</f>
        <v>0</v>
      </c>
      <c r="J137" s="125" t="str">
        <f t="shared" ref="J137:J149" si="71">IF(ISERROR(K137/D137),"",K137/D137)</f>
        <v/>
      </c>
      <c r="K137" s="123">
        <f t="shared" ref="K137:K148" si="72">D137-I137</f>
        <v>0</v>
      </c>
      <c r="L137" s="126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27"/>
      <c r="B138" s="29"/>
      <c r="C138" s="29"/>
      <c r="D138" s="29">
        <f t="shared" si="68"/>
        <v>0</v>
      </c>
      <c r="E138" s="85"/>
      <c r="F138" s="29"/>
      <c r="G138" s="29"/>
      <c r="H138" s="86" t="str">
        <f t="shared" si="69"/>
        <v/>
      </c>
      <c r="I138" s="29">
        <f t="shared" si="70"/>
        <v>0</v>
      </c>
      <c r="J138" s="86" t="str">
        <f t="shared" si="71"/>
        <v/>
      </c>
      <c r="K138" s="29">
        <f t="shared" si="72"/>
        <v>0</v>
      </c>
      <c r="L138" s="87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65"/>
      <c r="B139" s="10"/>
      <c r="C139" s="10"/>
      <c r="D139" s="10">
        <f t="shared" si="68"/>
        <v>0</v>
      </c>
      <c r="E139" s="83"/>
      <c r="F139" s="10"/>
      <c r="G139" s="10"/>
      <c r="H139" s="84" t="str">
        <f t="shared" si="69"/>
        <v/>
      </c>
      <c r="I139" s="10">
        <f t="shared" si="70"/>
        <v>0</v>
      </c>
      <c r="J139" s="84" t="str">
        <f t="shared" si="71"/>
        <v/>
      </c>
      <c r="K139" s="10">
        <f t="shared" si="72"/>
        <v>0</v>
      </c>
      <c r="L139" s="88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27"/>
      <c r="B140" s="29"/>
      <c r="C140" s="29"/>
      <c r="D140" s="29">
        <f t="shared" si="68"/>
        <v>0</v>
      </c>
      <c r="E140" s="85"/>
      <c r="F140" s="29"/>
      <c r="G140" s="29"/>
      <c r="H140" s="86" t="str">
        <f t="shared" si="69"/>
        <v/>
      </c>
      <c r="I140" s="29">
        <f t="shared" si="70"/>
        <v>0</v>
      </c>
      <c r="J140" s="86" t="str">
        <f t="shared" si="71"/>
        <v/>
      </c>
      <c r="K140" s="29">
        <f t="shared" si="72"/>
        <v>0</v>
      </c>
      <c r="L140" s="87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65"/>
      <c r="B141" s="10"/>
      <c r="C141" s="10"/>
      <c r="D141" s="10">
        <f t="shared" si="68"/>
        <v>0</v>
      </c>
      <c r="E141" s="83"/>
      <c r="F141" s="10"/>
      <c r="G141" s="10"/>
      <c r="H141" s="84" t="str">
        <f t="shared" si="69"/>
        <v/>
      </c>
      <c r="I141" s="10">
        <f t="shared" si="70"/>
        <v>0</v>
      </c>
      <c r="J141" s="84" t="str">
        <f t="shared" si="71"/>
        <v/>
      </c>
      <c r="K141" s="10">
        <f t="shared" si="72"/>
        <v>0</v>
      </c>
      <c r="L141" s="88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27"/>
      <c r="B142" s="29"/>
      <c r="C142" s="29"/>
      <c r="D142" s="29">
        <f t="shared" si="68"/>
        <v>0</v>
      </c>
      <c r="E142" s="85"/>
      <c r="F142" s="29"/>
      <c r="G142" s="29"/>
      <c r="H142" s="86" t="str">
        <f t="shared" si="69"/>
        <v/>
      </c>
      <c r="I142" s="29">
        <f t="shared" si="70"/>
        <v>0</v>
      </c>
      <c r="J142" s="86" t="str">
        <f t="shared" si="71"/>
        <v/>
      </c>
      <c r="K142" s="29">
        <f t="shared" si="72"/>
        <v>0</v>
      </c>
      <c r="L142" s="87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65"/>
      <c r="B143" s="10"/>
      <c r="C143" s="10"/>
      <c r="D143" s="10">
        <f t="shared" si="68"/>
        <v>0</v>
      </c>
      <c r="E143" s="83"/>
      <c r="F143" s="10"/>
      <c r="G143" s="10"/>
      <c r="H143" s="84" t="str">
        <f t="shared" si="69"/>
        <v/>
      </c>
      <c r="I143" s="10">
        <f t="shared" si="70"/>
        <v>0</v>
      </c>
      <c r="J143" s="84" t="str">
        <f t="shared" si="71"/>
        <v/>
      </c>
      <c r="K143" s="10">
        <f t="shared" si="72"/>
        <v>0</v>
      </c>
      <c r="L143" s="88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27"/>
      <c r="B144" s="29"/>
      <c r="C144" s="29"/>
      <c r="D144" s="29">
        <f t="shared" si="68"/>
        <v>0</v>
      </c>
      <c r="E144" s="85"/>
      <c r="F144" s="29"/>
      <c r="G144" s="29"/>
      <c r="H144" s="86" t="str">
        <f t="shared" si="69"/>
        <v/>
      </c>
      <c r="I144" s="29">
        <f t="shared" si="70"/>
        <v>0</v>
      </c>
      <c r="J144" s="86" t="str">
        <f t="shared" si="71"/>
        <v/>
      </c>
      <c r="K144" s="29">
        <f t="shared" si="72"/>
        <v>0</v>
      </c>
      <c r="L144" s="87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65"/>
      <c r="B145" s="10"/>
      <c r="C145" s="10"/>
      <c r="D145" s="10">
        <f t="shared" si="68"/>
        <v>0</v>
      </c>
      <c r="E145" s="83"/>
      <c r="F145" s="10"/>
      <c r="G145" s="10"/>
      <c r="H145" s="84" t="str">
        <f t="shared" si="69"/>
        <v/>
      </c>
      <c r="I145" s="10">
        <f t="shared" si="70"/>
        <v>0</v>
      </c>
      <c r="J145" s="84" t="str">
        <f t="shared" si="71"/>
        <v/>
      </c>
      <c r="K145" s="10">
        <f t="shared" si="72"/>
        <v>0</v>
      </c>
      <c r="L145" s="88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27"/>
      <c r="B146" s="29"/>
      <c r="C146" s="29"/>
      <c r="D146" s="29">
        <f t="shared" si="68"/>
        <v>0</v>
      </c>
      <c r="E146" s="85"/>
      <c r="F146" s="29"/>
      <c r="G146" s="29"/>
      <c r="H146" s="86" t="str">
        <f t="shared" si="69"/>
        <v/>
      </c>
      <c r="I146" s="29">
        <f t="shared" si="70"/>
        <v>0</v>
      </c>
      <c r="J146" s="86" t="str">
        <f t="shared" si="71"/>
        <v/>
      </c>
      <c r="K146" s="29">
        <f t="shared" si="72"/>
        <v>0</v>
      </c>
      <c r="L146" s="87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65"/>
      <c r="B147" s="10"/>
      <c r="C147" s="10"/>
      <c r="D147" s="10">
        <f t="shared" si="68"/>
        <v>0</v>
      </c>
      <c r="E147" s="83"/>
      <c r="F147" s="10"/>
      <c r="G147" s="10"/>
      <c r="H147" s="84" t="str">
        <f t="shared" si="69"/>
        <v/>
      </c>
      <c r="I147" s="10">
        <f t="shared" si="70"/>
        <v>0</v>
      </c>
      <c r="J147" s="84" t="str">
        <f t="shared" si="71"/>
        <v/>
      </c>
      <c r="K147" s="10">
        <f t="shared" si="72"/>
        <v>0</v>
      </c>
      <c r="L147" s="88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93"/>
      <c r="B148" s="94"/>
      <c r="C148" s="94"/>
      <c r="D148" s="94">
        <f t="shared" si="68"/>
        <v>0</v>
      </c>
      <c r="E148" s="95"/>
      <c r="F148" s="94"/>
      <c r="G148" s="94"/>
      <c r="H148" s="96" t="str">
        <f t="shared" si="69"/>
        <v/>
      </c>
      <c r="I148" s="94">
        <f t="shared" si="70"/>
        <v>0</v>
      </c>
      <c r="J148" s="96" t="str">
        <f t="shared" si="71"/>
        <v/>
      </c>
      <c r="K148" s="94">
        <f t="shared" si="72"/>
        <v>0</v>
      </c>
      <c r="L148" s="97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1.75" customHeight="1">
      <c r="A149" s="127" t="s">
        <v>25</v>
      </c>
      <c r="B149" s="142"/>
      <c r="C149" s="142"/>
      <c r="D149" s="130">
        <f>SUM(D137:D148)</f>
        <v>0</v>
      </c>
      <c r="E149" s="129"/>
      <c r="F149" s="130"/>
      <c r="G149" s="130"/>
      <c r="H149" s="131"/>
      <c r="I149" s="130">
        <f>SUM(I137:I148)</f>
        <v>0</v>
      </c>
      <c r="J149" s="131" t="str">
        <f t="shared" si="71"/>
        <v/>
      </c>
      <c r="K149" s="130">
        <f>SUM(K137:K148)</f>
        <v>0</v>
      </c>
      <c r="L149" s="13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2024-09-14T16:48:48Z</dcterms:created>
  <dc:creator>Me</dc:creator>
</cp:coreProperties>
</file>